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d27da07646fa26/计划✅/1Career note☑️/Project✅/作品/"/>
    </mc:Choice>
  </mc:AlternateContent>
  <xr:revisionPtr revIDLastSave="1054" documentId="14_{5B579C9D-D2F8-4CF2-A5BD-F8663D216612}" xr6:coauthVersionLast="47" xr6:coauthVersionMax="47" xr10:uidLastSave="{665C68F9-F760-8045-8FE6-AADE2F506985}"/>
  <bookViews>
    <workbookView xWindow="3260" yWindow="1200" windowWidth="24700" windowHeight="17140" activeTab="2" xr2:uid="{590EA1E6-3E14-440A-993C-37DD51EC359F}"/>
  </bookViews>
  <sheets>
    <sheet name="RawData_Material" sheetId="2" r:id="rId1"/>
    <sheet name="Mass_Balance" sheetId="3" r:id="rId2"/>
    <sheet name="Model_vs_Paper" sheetId="4" r:id="rId3"/>
    <sheet name="Heat_dut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  <c r="O11" i="5"/>
  <c r="O9" i="5"/>
  <c r="O8" i="5"/>
  <c r="F36" i="5"/>
  <c r="O5" i="5"/>
  <c r="D36" i="5"/>
  <c r="L36" i="5"/>
  <c r="K36" i="5"/>
  <c r="E36" i="5"/>
  <c r="G36" i="5"/>
  <c r="J36" i="5"/>
  <c r="E2" i="4"/>
  <c r="E3" i="4"/>
  <c r="E4" i="4"/>
  <c r="E5" i="4"/>
  <c r="E6" i="4"/>
  <c r="E7" i="4"/>
  <c r="E8" i="4"/>
  <c r="D2" i="4"/>
  <c r="D3" i="4"/>
  <c r="D4" i="4"/>
  <c r="D5" i="4"/>
  <c r="D6" i="4"/>
  <c r="D7" i="4"/>
  <c r="D8" i="4"/>
  <c r="D38" i="5" l="1"/>
</calcChain>
</file>

<file path=xl/sharedStrings.xml><?xml version="1.0" encoding="utf-8"?>
<sst xmlns="http://schemas.openxmlformats.org/spreadsheetml/2006/main" count="1029" uniqueCount="170">
  <si>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</si>
  <si>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</si>
  <si>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</si>
  <si>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</si>
  <si>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</si>
  <si>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</si>
  <si>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</si>
  <si>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</si>
  <si>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</si>
  <si>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</si>
  <si>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</si>
  <si>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</si>
  <si>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</si>
  <si>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</si>
  <si>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</si>
  <si>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</si>
  <si>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</si>
  <si>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</si>
  <si>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</si>
  <si>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</si>
  <si>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</si>
  <si>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</si>
  <si>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</si>
  <si>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</si>
  <si>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</si>
  <si>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</si>
  <si>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</si>
  <si>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H2O</t>
  </si>
  <si>
    <t>H2SO4</t>
  </si>
  <si>
    <t>H2O2</t>
  </si>
  <si>
    <t>O2</t>
  </si>
  <si>
    <t>LIOH</t>
  </si>
  <si>
    <t>LI2SO4</t>
  </si>
  <si>
    <t>NISO4</t>
  </si>
  <si>
    <t>COSO4</t>
  </si>
  <si>
    <t>MNSO4</t>
  </si>
  <si>
    <t>CO(OH)2</t>
  </si>
  <si>
    <t>MNO2H2</t>
  </si>
  <si>
    <t>NCM715</t>
  </si>
  <si>
    <t>CO++</t>
  </si>
  <si>
    <t>MN++</t>
  </si>
  <si>
    <t>MNOH+</t>
  </si>
  <si>
    <t>H3O+</t>
  </si>
  <si>
    <t>LI+</t>
  </si>
  <si>
    <t>COSO4(S)</t>
  </si>
  <si>
    <t>SALT1</t>
  </si>
  <si>
    <t>SALT2</t>
  </si>
  <si>
    <t>LITHI(S)</t>
  </si>
  <si>
    <t>LI2SO(S)</t>
  </si>
  <si>
    <t>LIOH:(S)</t>
  </si>
  <si>
    <t>LIOH(S)</t>
  </si>
  <si>
    <t>MNSO4(S)</t>
  </si>
  <si>
    <t>HSO4-</t>
  </si>
  <si>
    <t>OH-</t>
  </si>
  <si>
    <t>SO4--</t>
  </si>
  <si>
    <t>H2</t>
  </si>
  <si>
    <t>NI(OH)2</t>
  </si>
  <si>
    <t>Mole Fractions</t>
  </si>
  <si>
    <t>Mass Flows</t>
  </si>
  <si>
    <t>Mass Fractions</t>
  </si>
  <si>
    <t>Volume Flow</t>
  </si>
  <si>
    <t>Vapor Phase</t>
  </si>
  <si>
    <t>Liquid Phase</t>
  </si>
  <si>
    <t>Solid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</si>
  <si>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</si>
  <si>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</si>
  <si>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</si>
  <si>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</si>
  <si>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</si>
  <si>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</si>
  <si>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</si>
  <si>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</si>
  <si>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</si>
  <si>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</si>
  <si>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</si>
  <si>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</si>
  <si>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</si>
  <si>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</si>
  <si>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ACID</t>
  </si>
  <si>
    <t>RSTOIC1</t>
  </si>
  <si>
    <t>CONVEN</t>
  </si>
  <si>
    <t>GASSOLID</t>
  </si>
  <si>
    <t>ANODE</t>
  </si>
  <si>
    <t>LI2SO41</t>
  </si>
  <si>
    <t>RSTOIC3</t>
  </si>
  <si>
    <t>CATHODE</t>
  </si>
  <si>
    <t>LIOH1</t>
  </si>
  <si>
    <t>RSTOIC2</t>
  </si>
  <si>
    <t>NCM</t>
  </si>
  <si>
    <t>NICOMNOH</t>
  </si>
  <si>
    <t>PRO1</t>
  </si>
  <si>
    <t>PRO2</t>
  </si>
  <si>
    <t>PRO3</t>
  </si>
  <si>
    <t>SOL1</t>
  </si>
  <si>
    <t>SOL2</t>
  </si>
  <si>
    <t>Stream</t>
  </si>
  <si>
    <t>Component</t>
  </si>
  <si>
    <t>Feed</t>
  </si>
  <si>
    <t>Acid (H2SO4:H2O2:H2O)</t>
  </si>
  <si>
    <t>Dissolution output</t>
  </si>
  <si>
    <t>O2 + off-gas</t>
  </si>
  <si>
    <t>Precipitation output</t>
  </si>
  <si>
    <t>Ni(OH)2</t>
  </si>
  <si>
    <t>Co(OH)2</t>
  </si>
  <si>
    <t>Mn(OH)2</t>
  </si>
  <si>
    <t>Electrolysis output</t>
  </si>
  <si>
    <t>LiOH (regenerated)</t>
  </si>
  <si>
    <t>H2SO4 (regenerated)</t>
  </si>
  <si>
    <t>Parameter</t>
  </si>
  <si>
    <t>Model</t>
  </si>
  <si>
    <t>Paper</t>
  </si>
  <si>
    <t>Difference</t>
  </si>
  <si>
    <t>% Diff.</t>
  </si>
  <si>
    <t>Residual Li₂SO₄</t>
  </si>
  <si>
    <t>O₂</t>
  </si>
  <si>
    <t>Hydroxide Recovery</t>
  </si>
  <si>
    <t>Residue &amp; Gas Losses</t>
  </si>
  <si>
    <t>Utility ID</t>
  </si>
  <si>
    <t>Utility cost</t>
  </si>
  <si>
    <t>Utility usage</t>
  </si>
  <si>
    <t>Total CO2e production [kg/hr]</t>
  </si>
  <si>
    <t>Utility CO2e production [kg/hr]</t>
  </si>
  <si>
    <t>Net stream CO2e production [kg/hr]</t>
  </si>
  <si>
    <t>Total product stream CO2e flow [kg/hr]</t>
  </si>
  <si>
    <t>Total feed stream CO2e flow [kg/hr]</t>
  </si>
  <si>
    <t>Heat duty [cal/sec]</t>
  </si>
  <si>
    <t>EO Model components</t>
  </si>
  <si>
    <t>Second outlet flash pressure estimate</t>
  </si>
  <si>
    <t>Second outlet flash temperature estimate</t>
  </si>
  <si>
    <t>Second outlet flash vapor fraction</t>
  </si>
  <si>
    <t>Second outlet flash temperature change</t>
  </si>
  <si>
    <t>Second outlet flash pressure</t>
  </si>
  <si>
    <t>Second outlet flash temperature</t>
  </si>
  <si>
    <t>First outlet flash pressure estimate</t>
  </si>
  <si>
    <t>First outlet flash temperature estimate</t>
  </si>
  <si>
    <t>First outlet flash vapor fraction</t>
  </si>
  <si>
    <t>First outlet flash temperature change</t>
  </si>
  <si>
    <t>First outlet flash pressure</t>
  </si>
  <si>
    <t>First outlet flash temperature</t>
  </si>
  <si>
    <t>Inlet flash pressure [bar]</t>
  </si>
  <si>
    <t>Water solubility method</t>
  </si>
  <si>
    <t>STEAM-TA</t>
  </si>
  <si>
    <t>Free-water phase properties method</t>
  </si>
  <si>
    <t>NO</t>
  </si>
  <si>
    <t>Use true species approach for electrolytes</t>
  </si>
  <si>
    <t>GLOBAL</t>
  </si>
  <si>
    <t>Electrolyte chemistry ID</t>
  </si>
  <si>
    <t>Henry's component list ID</t>
  </si>
  <si>
    <t>ELECNRTL</t>
  </si>
  <si>
    <t>Property method</t>
  </si>
  <si>
    <t>Name</t>
  </si>
  <si>
    <t>Sep</t>
  </si>
  <si>
    <t>First liquid / total liquid</t>
  </si>
  <si>
    <t>Calculated vapor fraction</t>
  </si>
  <si>
    <t>Net heat duty [cal/sec]</t>
  </si>
  <si>
    <t>Calculated heat duty [cal/sec]</t>
  </si>
  <si>
    <t>Outlet pressure [bar]</t>
  </si>
  <si>
    <t>Outlet temperature [C]</t>
  </si>
  <si>
    <t>Specified heat duty [cal/sec]</t>
  </si>
  <si>
    <t>Specified vapor fraction</t>
  </si>
  <si>
    <t>Specified temperature [C]</t>
  </si>
  <si>
    <t>Specified pressure [bar]</t>
  </si>
  <si>
    <t>RStoic</t>
  </si>
  <si>
    <t>Net heat duty / kw</t>
  </si>
  <si>
    <t>Heat duty /kw</t>
  </si>
  <si>
    <t>Total Integrated Energy Consumption</t>
  </si>
  <si>
    <t>Total Process Heating Duty</t>
  </si>
  <si>
    <t>Modules</t>
  </si>
  <si>
    <t>Total Electrolytic Power Consumption</t>
  </si>
  <si>
    <t>Process Heat Duty /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</si>
</sst>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"/>
      <family val="2"/>
    </font>
    <font>
      <sz val="8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10" fontId="0" fillId="0" borderId="0" xfId="0" applyNumberFormat="1"/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 shrinkToFit="1"/>
    </xf>
    <xf numFmtId="0" fontId="0" fillId="0" borderId="0" xfId="0" applyAlignment="1">
      <alignment horizontal="left" wrapText="1"/>
    </xf>
    <xf numFmtId="164" fontId="0" fillId="0" borderId="0" xfId="0" applyNumberFormat="1"/>
    <xf numFmtId="2" fontId="0" fillId="0" borderId="0" xfId="0" applyNumberFormat="1" applyAlignment="1">
      <alignment horizontal="right"/>
    </xf>
    <xf numFmtId="2" fontId="3" fillId="0" borderId="0" xfId="0" applyNumberFormat="1" applyFon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Recycled</a:t>
            </a:r>
            <a:r>
              <a:rPr lang="en-GB" baseline="0"/>
              <a:t> component in NCM battery /g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Model_vs_Paper!$B$1</c:f>
              <c:strCache>
                <c:ptCount val="1"/>
                <c:pt idx="0">
                  <c:v>Model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-0.194312117235345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98-0C4D-902A-16A7239F9394}"/>
                </c:ext>
              </c:extLst>
            </c:dLbl>
            <c:dLbl>
              <c:idx val="1"/>
              <c:layout>
                <c:manualLayout>
                  <c:x val="0"/>
                  <c:y val="-6.588363954505686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98-0C4D-902A-16A7239F9394}"/>
                </c:ext>
              </c:extLst>
            </c:dLbl>
            <c:dLbl>
              <c:idx val="2"/>
              <c:layout>
                <c:manualLayout>
                  <c:x val="0"/>
                  <c:y val="-6.0028798483522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98-0C4D-902A-16A7239F9394}"/>
                </c:ext>
              </c:extLst>
            </c:dLbl>
            <c:dLbl>
              <c:idx val="3"/>
              <c:layout>
                <c:manualLayout>
                  <c:x val="-2.7777777777778798E-3"/>
                  <c:y val="-0.180643409157188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98-0C4D-902A-16A7239F9394}"/>
                </c:ext>
              </c:extLst>
            </c:dLbl>
            <c:dLbl>
              <c:idx val="4"/>
              <c:layout>
                <c:manualLayout>
                  <c:x val="-2.7777777777778798E-3"/>
                  <c:y val="-0.262787620297462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98-0C4D-902A-16A7239F9394}"/>
                </c:ext>
              </c:extLst>
            </c:dLbl>
            <c:dLbl>
              <c:idx val="5"/>
              <c:layout>
                <c:manualLayout>
                  <c:x val="0"/>
                  <c:y val="-0.106996208807232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98-0C4D-902A-16A7239F9394}"/>
                </c:ext>
              </c:extLst>
            </c:dLbl>
            <c:dLbl>
              <c:idx val="6"/>
              <c:layout>
                <c:manualLayout>
                  <c:x val="-2.777777777777676E-3"/>
                  <c:y val="-6.91480752405950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98-0C4D-902A-16A7239F9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Model_vs_Paper!$A$2:$A$8</c:f>
              <c:strCache>
                <c:ptCount val="7"/>
                <c:pt idx="0">
                  <c:v>Ni(OH)2</c:v>
                </c:pt>
                <c:pt idx="1">
                  <c:v>Co(OH)2</c:v>
                </c:pt>
                <c:pt idx="2">
                  <c:v>Mn(OH)2</c:v>
                </c:pt>
                <c:pt idx="3">
                  <c:v>LiOH (regenerated)</c:v>
                </c:pt>
                <c:pt idx="4">
                  <c:v>H2SO4 (regenerated)</c:v>
                </c:pt>
                <c:pt idx="5">
                  <c:v>Residual Li₂SO₄</c:v>
                </c:pt>
                <c:pt idx="6">
                  <c:v>O₂</c:v>
                </c:pt>
              </c:strCache>
            </c:strRef>
          </c:cat>
          <c:val>
            <c:numRef>
              <c:f>Model_vs_Paper!$B$2:$B$8</c:f>
              <c:numCache>
                <c:formatCode>General</c:formatCode>
                <c:ptCount val="7"/>
                <c:pt idx="0">
                  <c:v>66.760000000000005</c:v>
                </c:pt>
                <c:pt idx="1">
                  <c:v>14.34</c:v>
                </c:pt>
                <c:pt idx="2">
                  <c:v>13.73</c:v>
                </c:pt>
                <c:pt idx="3">
                  <c:v>71.48</c:v>
                </c:pt>
                <c:pt idx="4">
                  <c:v>107.77</c:v>
                </c:pt>
                <c:pt idx="5">
                  <c:v>30.2</c:v>
                </c:pt>
                <c:pt idx="6">
                  <c:v>9.0500000000000007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98-0C4D-902A-16A7239F93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7263904"/>
        <c:axId val="1488928079"/>
      </c:barChart>
      <c:catAx>
        <c:axId val="16072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28079"/>
        <c:crosses val="autoZero"/>
        <c:auto val="1"/>
        <c:lblAlgn val="ctr"/>
        <c:lblOffset val="100"/>
        <c:noMultiLvlLbl val="0"/>
      </c:catAx>
      <c:valAx>
        <c:axId val="148892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6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/>
              <a:t>Percentage of Recovered Hydroxide Ternary Components (Model)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A3-7A40-A271-A1673E295DE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A3-7A40-A271-A1673E295DE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A3-7A40-A271-A1673E295DEE}"/>
              </c:ext>
            </c:extLst>
          </c:dPt>
          <c:dLbls>
            <c:dLbl>
              <c:idx val="0"/>
              <c:layout>
                <c:manualLayout>
                  <c:x val="-2.2255549450387428E-2"/>
                  <c:y val="-2.3119324207190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A3-7A40-A271-A1673E295DEE}"/>
                </c:ext>
              </c:extLst>
            </c:dLbl>
            <c:dLbl>
              <c:idx val="1"/>
              <c:layout>
                <c:manualLayout>
                  <c:x val="-6.651329479541516E-3"/>
                  <c:y val="-4.6006086947909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A3-7A40-A271-A1673E295DEE}"/>
                </c:ext>
              </c:extLst>
            </c:dLbl>
            <c:dLbl>
              <c:idx val="2"/>
              <c:layout>
                <c:manualLayout>
                  <c:x val="-2.3660912190753849E-2"/>
                  <c:y val="2.349531080519455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A3-7A40-A271-A1673E295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Model_vs_Paper!$A$2:$A$4</c:f>
              <c:strCache>
                <c:ptCount val="3"/>
                <c:pt idx="0">
                  <c:v>Ni(OH)2</c:v>
                </c:pt>
                <c:pt idx="1">
                  <c:v>Co(OH)2</c:v>
                </c:pt>
                <c:pt idx="2">
                  <c:v>Mn(OH)2</c:v>
                </c:pt>
              </c:strCache>
            </c:strRef>
          </c:cat>
          <c:val>
            <c:numRef>
              <c:f>Model_vs_Paper!$B$2:$B$4</c:f>
              <c:numCache>
                <c:formatCode>General</c:formatCode>
                <c:ptCount val="3"/>
                <c:pt idx="0">
                  <c:v>66.760000000000005</c:v>
                </c:pt>
                <c:pt idx="1">
                  <c:v>14.34</c:v>
                </c:pt>
                <c:pt idx="2">
                  <c:v>13.73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3-7A40-A271-A1673E295D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validation against literature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111111111111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6A-E14A-A45E-7E833EC39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Model_vs_Paper!$A$2:$A$8</c:f>
              <c:strCache>
                <c:ptCount val="7"/>
                <c:pt idx="0">
                  <c:v>Ni(OH)2</c:v>
                </c:pt>
                <c:pt idx="1">
                  <c:v>Co(OH)2</c:v>
                </c:pt>
                <c:pt idx="2">
                  <c:v>Mn(OH)2</c:v>
                </c:pt>
                <c:pt idx="3">
                  <c:v>LiOH (regenerated)</c:v>
                </c:pt>
                <c:pt idx="4">
                  <c:v>H2SO4 (regenerated)</c:v>
                </c:pt>
                <c:pt idx="5">
                  <c:v>Residual Li₂SO₄</c:v>
                </c:pt>
                <c:pt idx="6">
                  <c:v>O₂</c:v>
                </c:pt>
              </c:strCache>
            </c:strRef>
          </c:cat>
          <c:val>
            <c:numRef>
              <c:f>Model_vs_Paper!$B$2:$B$8</c:f>
              <c:numCache>
                <c:formatCode>General</c:formatCode>
                <c:ptCount val="7"/>
                <c:pt idx="0">
                  <c:v>66.760000000000005</c:v>
                </c:pt>
                <c:pt idx="1">
                  <c:v>14.34</c:v>
                </c:pt>
                <c:pt idx="2">
                  <c:v>13.73</c:v>
                </c:pt>
                <c:pt idx="3">
                  <c:v>71.48</c:v>
                </c:pt>
                <c:pt idx="4">
                  <c:v>107.77</c:v>
                </c:pt>
                <c:pt idx="5">
                  <c:v>30.2</c:v>
                </c:pt>
                <c:pt idx="6">
                  <c:v>9.0500000000000007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A-E14A-A45E-7E833EC39112}"/>
            </c:ext>
          </c:extLst>
        </c:ser>
        <c:ser>
          <c:idx val="1"/>
          <c:order val="1"/>
          <c:tx>
            <c:v>Paper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9444444444444445E-2"/>
                  <c:y val="9.25925925925917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A-E14A-A45E-7E833EC39112}"/>
                </c:ext>
              </c:extLst>
            </c:dLbl>
            <c:dLbl>
              <c:idx val="3"/>
              <c:layout>
                <c:manualLayout>
                  <c:x val="1.9444444444444445E-2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6A-E14A-A45E-7E833EC39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Model_vs_Paper!$A$2:$A$8</c:f>
              <c:strCache>
                <c:ptCount val="7"/>
                <c:pt idx="0">
                  <c:v>Ni(OH)2</c:v>
                </c:pt>
                <c:pt idx="1">
                  <c:v>Co(OH)2</c:v>
                </c:pt>
                <c:pt idx="2">
                  <c:v>Mn(OH)2</c:v>
                </c:pt>
                <c:pt idx="3">
                  <c:v>LiOH (regenerated)</c:v>
                </c:pt>
                <c:pt idx="4">
                  <c:v>H2SO4 (regenerated)</c:v>
                </c:pt>
                <c:pt idx="5">
                  <c:v>Residual Li₂SO₄</c:v>
                </c:pt>
                <c:pt idx="6">
                  <c:v>O₂</c:v>
                </c:pt>
              </c:strCache>
            </c:strRef>
          </c:cat>
          <c:val>
            <c:numRef>
              <c:f>Model_vs_Paper!$C$2:$C$8</c:f>
              <c:numCache>
                <c:formatCode>General</c:formatCode>
                <c:ptCount val="7"/>
                <c:pt idx="0">
                  <c:v>72.83</c:v>
                </c:pt>
                <c:pt idx="1">
                  <c:v>15.65</c:v>
                </c:pt>
                <c:pt idx="2">
                  <c:v>14.97</c:v>
                </c:pt>
                <c:pt idx="3">
                  <c:v>70.010000000000005</c:v>
                </c:pt>
                <c:pt idx="4">
                  <c:v>138.13</c:v>
                </c:pt>
                <c:pt idx="5">
                  <c:v>38.71</c:v>
                </c:pt>
                <c:pt idx="6">
                  <c:v>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A-E14A-A45E-7E833EC391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612576"/>
        <c:axId val="102614288"/>
      </c:barChart>
      <c:catAx>
        <c:axId val="1026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4288"/>
        <c:crosses val="autoZero"/>
        <c:auto val="1"/>
        <c:lblAlgn val="ctr"/>
        <c:lblOffset val="100"/>
        <c:noMultiLvlLbl val="0"/>
      </c:catAx>
      <c:valAx>
        <c:axId val="1026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kg/h</a:t>
                </a:r>
                <a:endParaRPr lang="en-GB" sz="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Mass Distribution of 100 kg Spent NCM Battery Materials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Hydroxide Recovery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332E-3"/>
                  <c:y val="-0.25"/>
                </c:manualLayout>
              </c:layout>
              <c:tx>
                <c:rich>
                  <a:bodyPr/>
                  <a:lstStyle/>
                  <a:p>
                    <a:fld id="{807BA02A-FE81-F44E-A794-6E14CD5DC77C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D2BEF355-E6BF-954C-AA6D-8639AA562BA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292-0E47-81DB-2EDE8973A4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Model_vs_Paper!$B$26</c:f>
              <c:numCache>
                <c:formatCode>General</c:formatCode>
                <c:ptCount val="1"/>
                <c:pt idx="0">
                  <c:v>94.83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2-0E47-81DB-2EDE8973A4B0}"/>
            </c:ext>
          </c:extLst>
        </c:ser>
        <c:ser>
          <c:idx val="1"/>
          <c:order val="1"/>
          <c:tx>
            <c:strRef>
              <c:f>Model_vs_Paper!$C$25</c:f>
              <c:strCache>
                <c:ptCount val="1"/>
                <c:pt idx="0">
                  <c:v>Residue &amp; Gas Losses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72222222222212E-3"/>
                  <c:y val="-0.2337962962962963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85432E-A722-8747-96EB-4FA465B3D03E}" type="SERIESNAME">
                      <a:rPr lang="en-US"/>
                      <a:pPr>
                        <a:defRPr/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7AADD90B-3993-014D-896A-2A67D6D2BFB8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891666666666666"/>
                      <c:h val="0.1572685185185185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292-0E47-81DB-2EDE8973A4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Model_vs_Paper!$C$26</c:f>
              <c:numCache>
                <c:formatCode>General</c:formatCode>
                <c:ptCount val="1"/>
                <c:pt idx="0">
                  <c:v>39.25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2-0E47-81DB-2EDE8973A4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6112191"/>
        <c:axId val="530247808"/>
      </c:barChart>
      <c:catAx>
        <c:axId val="214611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47808"/>
        <c:crosses val="autoZero"/>
        <c:auto val="1"/>
        <c:lblAlgn val="ctr"/>
        <c:lblOffset val="100"/>
        <c:noMultiLvlLbl val="0"/>
      </c:catAx>
      <c:valAx>
        <c:axId val="5302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11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 Consumption /KW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515541673815685E-2"/>
          <c:y val="0.18502336157165317"/>
          <c:w val="0.90972922134733158"/>
          <c:h val="0.69835629921259845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Heat_duty!$C$38:$C$40</c:f>
              <c:strCache>
                <c:ptCount val="3"/>
                <c:pt idx="0">
                  <c:v>Total Process Heating Duty</c:v>
                </c:pt>
                <c:pt idx="1">
                  <c:v>Total Electrolytic Power Consumption</c:v>
                </c:pt>
                <c:pt idx="2">
                  <c:v>Total Integrated Energy Consumption</c:v>
                </c:pt>
              </c:strCache>
            </c:strRef>
          </c:cat>
          <c:val>
            <c:numRef>
              <c:f>Heat_duty!$D$38:$D$40</c:f>
              <c:numCache>
                <c:formatCode>0.00</c:formatCode>
                <c:ptCount val="3"/>
                <c:pt idx="0">
                  <c:v>-18.91575212402401</c:v>
                </c:pt>
                <c:pt idx="1">
                  <c:v>-452.94</c:v>
                </c:pt>
                <c:pt idx="2">
                  <c:v>-471.85575210000002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4-3B41-81BE-9487B39489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100"/>
        <c:axId val="1720272767"/>
        <c:axId val="1720274479"/>
      </c:barChart>
      <c:catAx>
        <c:axId val="172027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74479"/>
        <c:crosses val="autoZero"/>
        <c:auto val="1"/>
        <c:lblAlgn val="ctr"/>
        <c:lblOffset val="100"/>
        <c:noMultiLvlLbl val="0"/>
      </c:catAx>
      <c:valAx>
        <c:axId val="172027447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7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Heat_duty!$O$4</c:f>
              <c:strCache>
                <c:ptCount val="1"/>
                <c:pt idx="0">
                  <c:v>Process Heat Duty / 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75-D74A-988B-0AB6A434684B}"/>
                </c:ext>
              </c:extLst>
            </c:dLbl>
            <c:dLbl>
              <c:idx val="2"/>
              <c:layout>
                <c:manualLayout>
                  <c:x val="-5.0925337632079971E-17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75-D74A-988B-0AB6A434684B}"/>
                </c:ext>
              </c:extLst>
            </c:dLbl>
            <c:dLbl>
              <c:idx val="3"/>
              <c:layout>
                <c:manualLayout>
                  <c:x val="0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75-D74A-988B-0AB6A434684B}"/>
                </c:ext>
              </c:extLst>
            </c:dLbl>
            <c:dLbl>
              <c:idx val="4"/>
              <c:layout>
                <c:manualLayout>
                  <c:x val="0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75-D74A-988B-0AB6A434684B}"/>
                </c:ext>
              </c:extLst>
            </c:dLbl>
            <c:dLbl>
              <c:idx val="5"/>
              <c:layout>
                <c:manualLayout>
                  <c:x val="-1.0185067526415994E-16"/>
                  <c:y val="-0.231481481481481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75-D74A-988B-0AB6A434684B}"/>
                </c:ext>
              </c:extLst>
            </c:dLbl>
            <c:dLbl>
              <c:idx val="6"/>
              <c:layout>
                <c:manualLayout>
                  <c:x val="-2.7777777777777779E-3"/>
                  <c:y val="-0.152777777777777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75-D74A-988B-0AB6A43468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Heat_duty!$N$5:$N$11</c:f>
              <c:strCache>
                <c:ptCount val="7"/>
                <c:pt idx="0">
                  <c:v>ANODE</c:v>
                </c:pt>
                <c:pt idx="1">
                  <c:v>CATHODE</c:v>
                </c:pt>
                <c:pt idx="2">
                  <c:v>1-Sep</c:v>
                </c:pt>
                <c:pt idx="3">
                  <c:v>2-Sep</c:v>
                </c:pt>
                <c:pt idx="4">
                  <c:v>RSTOIC1</c:v>
                </c:pt>
                <c:pt idx="5">
                  <c:v>RSTOIC2</c:v>
                </c:pt>
                <c:pt idx="6">
                  <c:v>RSTOIC3</c:v>
                </c:pt>
              </c:strCache>
            </c:strRef>
          </c:cat>
          <c:val>
            <c:numRef>
              <c:f>Heat_duty!$O$5:$O$11</c:f>
              <c:numCache>
                <c:formatCode>0.00</c:formatCode>
                <c:ptCount val="7"/>
                <c:pt idx="0">
                  <c:v>5.8076951726400008</c:v>
                </c:pt>
                <c:pt idx="1">
                  <c:v>0</c:v>
                </c:pt>
                <c:pt idx="2">
                  <c:v>-0.92</c:v>
                </c:pt>
                <c:pt idx="3">
                  <c:v>1.3036523433920002</c:v>
                </c:pt>
                <c:pt idx="4">
                  <c:v>11.22532631792</c:v>
                </c:pt>
                <c:pt idx="5">
                  <c:v>-98.24</c:v>
                </c:pt>
                <c:pt idx="6">
                  <c:v>61.915936157600001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5-D74A-988B-0AB6A43468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7529151"/>
        <c:axId val="242208368"/>
      </c:barChart>
      <c:catAx>
        <c:axId val="10775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08368"/>
        <c:crosses val="autoZero"/>
        <c:auto val="1"/>
        <c:lblAlgn val="ctr"/>
        <c:lblOffset val="100"/>
        <c:noMultiLvlLbl val="0"/>
      </c:catAx>
      <c:valAx>
        <c:axId val="2422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15363</xdr:rowOff>
    </xdr:from>
    <xdr:to>
      <xdr:col>3</xdr:col>
      <xdr:colOff>466008</xdr:colOff>
      <xdr:row>19</xdr:row>
      <xdr:rowOff>157205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C2495-C63A-9446-877F-752B17467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16678</xdr:colOff>
      <xdr:row>7</xdr:row>
      <xdr:rowOff>182240</xdr:rowOff>
    </xdr:from>
    <xdr:to>
      <xdr:col>10</xdr:col>
      <xdr:colOff>694906</xdr:colOff>
      <xdr:row>22</xdr:row>
      <xdr:rowOff>47925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8EBBE-3FE4-0216-BBB2-200D25C92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353671</xdr:colOff>
      <xdr:row>48</xdr:row>
      <xdr:rowOff>0</xdr:rowOff>
    </xdr:from>
    <xdr:ext cx="4176336" cy="217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EDE955-EB0F-11EE-E019-5D2FB2CCBCD4}"/>
            </a:ext>
          </a:extLst>
        </xdr:cNvPr>
        <xdr:cNvSpPr txBox="1"/>
      </xdr:nvSpPr>
      <xdr:spPr>
        <a:xfrm>
          <a:off x="353671" y="9259747"/>
          <a:ext cx="417633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800">
              <a:solidFill>
                <a:schemeClr val="tx1">
                  <a:lumMod val="50000"/>
                  <a:lumOff val="50000"/>
                </a:schemeClr>
              </a:solidFill>
            </a:rPr>
            <a:t>Source: Simulated in Aspen Plus V14; benchmarked against Zhang et al., Coatings 2025, 15, 990.</a:t>
          </a:r>
          <a:endParaRPr lang="en-GB" sz="8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twoCellAnchor>
    <xdr:from>
      <xdr:col>0</xdr:col>
      <xdr:colOff>0</xdr:colOff>
      <xdr:row>8</xdr:row>
      <xdr:rowOff>18211</xdr:rowOff>
    </xdr:from>
    <xdr:to>
      <xdr:col>5</xdr:col>
      <xdr:colOff>27157</xdr:colOff>
      <xdr:row>22</xdr:row>
      <xdr:rowOff>77638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4AF50C-131A-EC10-9744-8FDBB85C7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14377</xdr:colOff>
      <xdr:row>22</xdr:row>
      <xdr:rowOff>74124</xdr:rowOff>
    </xdr:from>
    <xdr:to>
      <xdr:col>5</xdr:col>
      <xdr:colOff>41534</xdr:colOff>
      <xdr:row>36</xdr:row>
      <xdr:rowOff>133550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23F67D-EEDC-FA77-A3AD-792498536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803714</xdr:colOff>
      <xdr:row>40</xdr:row>
      <xdr:rowOff>35764</xdr:rowOff>
    </xdr:from>
    <xdr:to>
      <xdr:col>5</xdr:col>
      <xdr:colOff>339009</xdr:colOff>
      <xdr:row>54</xdr:row>
      <xdr:rowOff>156025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994AD7-086E-653A-A8A8-900A7436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385577</xdr:colOff>
      <xdr:row>0</xdr:row>
      <xdr:rowOff>190157</xdr:rowOff>
    </xdr:from>
    <xdr:to>
      <xdr:col>15</xdr:col>
      <xdr:colOff>300910</xdr:colOff>
      <xdr:row>15</xdr:row>
      <xdr:rowOff>15789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94DAA-3D60-D395-4FD7-A32D2D873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F1D97-40FF-4D44-85BA-83CFFB970A98}" name="Table1" displayName="Table1" ref="A1:C9" totalsRowShown="0">
  <autoFilter ref="A1:C9" xr:uid="{B23F1D97-40FF-4D44-85BA-83CFFB970A98}"/>
  <tableColumns count="3">
    <tableColumn id="1" xr3:uid="{ECE7B2AB-CF29-DE47-9581-67AFB160DEBE}" name="Stream"/>
    <tableColumn id="2" xr3:uid="{92EFAB4A-CFF7-9F45-8C51-42DA36A701C7}" name="Component"/>
    <tableColumn id="3" xr3:uid="{4212D8B9-05EC-8542-920F-0103067EBEB1}" name="kg/h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62FBF-8983-9F48-8AB3-C793D6C8CBBA}" name="Table2" displayName="Table2" ref="A1:E8" totalsRowShown="0">
  <autoFilter ref="A1:E8" xr:uid="{47462FBF-8983-9F48-8AB3-C793D6C8CBBA}"/>
  <tableColumns count="5">
    <tableColumn id="1" xr3:uid="{70EB8ECA-DF32-364F-A901-10894DC96F98}" name="Parameter"/>
    <tableColumn id="2" xr3:uid="{911E0C68-5897-174C-BDC5-AF2DA2BEC2B8}" name="Model"/>
    <tableColumn id="3" xr3:uid="{83E60FE8-67DF-F643-BCBC-514332B68F51}" name="Paper"/>
    <tableColumn id="4" xr3:uid="{63EDA103-EAAF-FE4D-93A1-2045B3B75A0F}" name="Difference" dataDxfId="1">
      <calculatedColumnFormula>B2-C2</calculatedColumnFormula>
    </tableColumn>
    <tableColumn id="5" xr3:uid="{377C1F1C-1627-3446-BB23-7DC4BDB29C94}" name="% Diff." dataDxfId="0">
      <calculatedColumnFormula>(B2-C2)/C2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23A6-CB02-432E-94EB-DF4DC0B8C100}">
  <dimension ref="C3:R555"/>
  <sheetViews>
    <sheetView topLeftCell="B1" zoomScale="90" workbookViewId="0">
      <selection activeCell="C563" sqref="C563"/>
    </sheetView>
  </sheetViews>
  <sheetFormatPr baseColWidth="10" defaultColWidth="8.83203125" defaultRowHeight="15" x14ac:dyDescent="0.2"/>
  <cols>
    <col min="3" max="3" width="22.6640625" bestFit="1" customWidth="1"/>
    <col min="4" max="4" width="9.5" bestFit="1" customWidth="1"/>
    <col min="5" max="18" width="12.6640625" bestFit="1" customWidth="1"/>
  </cols>
  <sheetData>
    <row r="3" spans="3:18" x14ac:dyDescent="0.2"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3:18" x14ac:dyDescent="0.2">
      <c r="C4" s="1" t="s">
        <v>1</v>
      </c>
      <c r="D4" s="1" t="s">
        <v>64</v>
      </c>
      <c r="E4" s="1" t="s">
        <v>78</v>
      </c>
      <c r="F4" s="1" t="s">
        <v>81</v>
      </c>
      <c r="G4" s="1" t="s">
        <v>28</v>
      </c>
      <c r="H4" s="1" t="s">
        <v>32</v>
      </c>
      <c r="I4" s="1" t="s">
        <v>83</v>
      </c>
      <c r="J4" s="1" t="s">
        <v>31</v>
      </c>
      <c r="K4" s="1" t="s">
        <v>86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94</v>
      </c>
    </row>
    <row r="5" spans="3:18" x14ac:dyDescent="0.2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3:18" x14ac:dyDescent="0.2">
      <c r="C6" s="1" t="s">
        <v>3</v>
      </c>
      <c r="D6" s="1"/>
      <c r="E6" s="1"/>
      <c r="F6" s="2">
        <v>46266</v>
      </c>
      <c r="G6" s="1" t="s">
        <v>82</v>
      </c>
      <c r="H6" s="1" t="s">
        <v>82</v>
      </c>
      <c r="I6" s="2">
        <v>46267</v>
      </c>
      <c r="J6" s="1" t="s">
        <v>85</v>
      </c>
      <c r="K6" s="1"/>
      <c r="L6" s="1"/>
      <c r="M6" s="2">
        <v>46267</v>
      </c>
      <c r="N6" s="1" t="s">
        <v>87</v>
      </c>
      <c r="O6" s="1" t="s">
        <v>84</v>
      </c>
      <c r="P6" s="1" t="s">
        <v>85</v>
      </c>
      <c r="Q6" s="1" t="s">
        <v>79</v>
      </c>
      <c r="R6" s="2">
        <v>46266</v>
      </c>
    </row>
    <row r="7" spans="3:18" x14ac:dyDescent="0.2">
      <c r="C7" s="1" t="s">
        <v>4</v>
      </c>
      <c r="D7" s="1"/>
      <c r="E7" s="1" t="s">
        <v>79</v>
      </c>
      <c r="F7" s="1"/>
      <c r="G7" s="1"/>
      <c r="H7" s="1"/>
      <c r="I7" s="1" t="s">
        <v>84</v>
      </c>
      <c r="J7" s="1"/>
      <c r="K7" s="1" t="s">
        <v>87</v>
      </c>
      <c r="L7" s="1" t="s">
        <v>79</v>
      </c>
      <c r="M7" s="1"/>
      <c r="N7" s="2">
        <v>46267</v>
      </c>
      <c r="O7" s="1" t="s">
        <v>85</v>
      </c>
      <c r="P7" s="1" t="s">
        <v>82</v>
      </c>
      <c r="Q7" s="2">
        <v>46266</v>
      </c>
      <c r="R7" s="1" t="s">
        <v>87</v>
      </c>
    </row>
    <row r="8" spans="3:18" x14ac:dyDescent="0.2">
      <c r="C8" s="1" t="s">
        <v>5</v>
      </c>
      <c r="D8" s="1"/>
      <c r="E8" s="1" t="s">
        <v>80</v>
      </c>
      <c r="F8" s="1" t="s">
        <v>80</v>
      </c>
      <c r="G8" s="1" t="s">
        <v>80</v>
      </c>
      <c r="H8" s="1" t="s">
        <v>80</v>
      </c>
      <c r="I8" s="1" t="s">
        <v>80</v>
      </c>
      <c r="J8" s="1" t="s">
        <v>80</v>
      </c>
      <c r="K8" s="1" t="s">
        <v>80</v>
      </c>
      <c r="L8" s="1" t="s">
        <v>80</v>
      </c>
      <c r="M8" s="1" t="s">
        <v>80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</row>
    <row r="9" spans="3:18" x14ac:dyDescent="0.2">
      <c r="C9" s="1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3:18" x14ac:dyDescent="0.2">
      <c r="C10" s="1" t="s">
        <v>7</v>
      </c>
      <c r="D10" s="1" t="s">
        <v>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3:18" x14ac:dyDescent="0.2"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3:18" x14ac:dyDescent="0.2">
      <c r="C12" s="1" t="s">
        <v>9</v>
      </c>
      <c r="D12" s="1"/>
      <c r="E12" s="1" t="s">
        <v>62</v>
      </c>
      <c r="F12" s="1"/>
      <c r="G12" s="1" t="s">
        <v>62</v>
      </c>
      <c r="H12" s="1" t="s">
        <v>62</v>
      </c>
      <c r="I12" s="1"/>
      <c r="J12" s="1" t="s">
        <v>63</v>
      </c>
      <c r="K12" s="1" t="s">
        <v>63</v>
      </c>
      <c r="L12" s="1" t="s">
        <v>63</v>
      </c>
      <c r="M12" s="1"/>
      <c r="N12" s="1"/>
      <c r="O12" s="1"/>
      <c r="P12" s="1" t="s">
        <v>62</v>
      </c>
      <c r="Q12" s="1"/>
      <c r="R12" s="1"/>
    </row>
    <row r="13" spans="3:18" x14ac:dyDescent="0.2">
      <c r="C13" s="1" t="s">
        <v>10</v>
      </c>
      <c r="D13" s="1" t="s">
        <v>66</v>
      </c>
      <c r="E13" s="1">
        <v>80</v>
      </c>
      <c r="F13" s="1">
        <v>80</v>
      </c>
      <c r="G13" s="1">
        <v>80</v>
      </c>
      <c r="H13" s="1">
        <v>80</v>
      </c>
      <c r="I13" s="1">
        <v>80</v>
      </c>
      <c r="J13" s="1">
        <v>80</v>
      </c>
      <c r="K13" s="1">
        <v>80</v>
      </c>
      <c r="L13" s="1">
        <v>80</v>
      </c>
      <c r="M13" s="1">
        <v>80</v>
      </c>
      <c r="N13" s="1">
        <v>80</v>
      </c>
      <c r="O13" s="1">
        <v>80</v>
      </c>
      <c r="P13" s="1">
        <v>80</v>
      </c>
      <c r="Q13" s="1">
        <v>80</v>
      </c>
      <c r="R13" s="1">
        <v>80</v>
      </c>
    </row>
    <row r="14" spans="3:18" x14ac:dyDescent="0.2">
      <c r="C14" s="1" t="s">
        <v>11</v>
      </c>
      <c r="D14" s="1" t="s">
        <v>67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</row>
    <row r="15" spans="3:18" x14ac:dyDescent="0.2">
      <c r="C15" s="1" t="s">
        <v>12</v>
      </c>
      <c r="D15" s="1"/>
      <c r="E15" s="1">
        <v>0</v>
      </c>
      <c r="F15" s="1">
        <v>0.99637319793272405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6.8025507478477701E-2</v>
      </c>
      <c r="R15" s="1">
        <v>0</v>
      </c>
    </row>
    <row r="16" spans="3:18" x14ac:dyDescent="0.2">
      <c r="C16" s="1" t="s">
        <v>13</v>
      </c>
      <c r="D16" s="1"/>
      <c r="E16" s="1">
        <v>1</v>
      </c>
      <c r="F16" s="1">
        <v>0</v>
      </c>
      <c r="G16" s="1">
        <v>1</v>
      </c>
      <c r="H16" s="1">
        <v>1</v>
      </c>
      <c r="I16" s="1">
        <v>0.84243418651948199</v>
      </c>
      <c r="J16" s="1">
        <v>0</v>
      </c>
      <c r="K16" s="1">
        <v>0</v>
      </c>
      <c r="L16" s="1">
        <v>0</v>
      </c>
      <c r="M16" s="1">
        <v>0.301589440747978</v>
      </c>
      <c r="N16" s="1">
        <v>0.71928047846934895</v>
      </c>
      <c r="O16" s="1">
        <v>0.40258440462288397</v>
      </c>
      <c r="P16" s="1">
        <v>1</v>
      </c>
      <c r="Q16" s="1">
        <v>0.867437479769264</v>
      </c>
      <c r="R16" s="1">
        <v>0.93199878287947102</v>
      </c>
    </row>
    <row r="17" spans="3:18" x14ac:dyDescent="0.2">
      <c r="C17" s="1" t="s">
        <v>14</v>
      </c>
      <c r="D17" s="1"/>
      <c r="E17" s="1">
        <v>0</v>
      </c>
      <c r="F17" s="1">
        <v>3.6268020672763899E-3</v>
      </c>
      <c r="G17" s="1">
        <v>0</v>
      </c>
      <c r="H17" s="1">
        <v>0</v>
      </c>
      <c r="I17" s="1">
        <v>0.15756581348051801</v>
      </c>
      <c r="J17" s="1">
        <v>1</v>
      </c>
      <c r="K17" s="1">
        <v>1</v>
      </c>
      <c r="L17" s="1">
        <v>1</v>
      </c>
      <c r="M17" s="1">
        <v>0.698410559252022</v>
      </c>
      <c r="N17" s="1">
        <v>0.280719521530651</v>
      </c>
      <c r="O17" s="1">
        <v>0.59741559537711697</v>
      </c>
      <c r="P17" s="1">
        <v>0</v>
      </c>
      <c r="Q17" s="1">
        <v>6.4537012752258593E-2</v>
      </c>
      <c r="R17" s="1">
        <v>6.8001217120528507E-2</v>
      </c>
    </row>
    <row r="18" spans="3:18" x14ac:dyDescent="0.2">
      <c r="C18" s="1" t="s">
        <v>15</v>
      </c>
      <c r="D18" s="1"/>
      <c r="E18" s="1">
        <v>0</v>
      </c>
      <c r="F18" s="1">
        <v>0.98907512104622697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3.6760543020857503E-2</v>
      </c>
      <c r="R18" s="1">
        <v>0</v>
      </c>
    </row>
    <row r="19" spans="3:18" x14ac:dyDescent="0.2">
      <c r="C19" s="1" t="s">
        <v>16</v>
      </c>
      <c r="D19" s="1"/>
      <c r="E19" s="1">
        <v>1</v>
      </c>
      <c r="F19" s="1">
        <v>0</v>
      </c>
      <c r="G19" s="1">
        <v>1</v>
      </c>
      <c r="H19" s="1">
        <v>1</v>
      </c>
      <c r="I19" s="1">
        <v>0.91467117865770298</v>
      </c>
      <c r="J19" s="1">
        <v>0</v>
      </c>
      <c r="K19" s="1">
        <v>0</v>
      </c>
      <c r="L19" s="1">
        <v>0</v>
      </c>
      <c r="M19" s="1">
        <v>0.17465241659035199</v>
      </c>
      <c r="N19" s="1">
        <v>0.66148759261476098</v>
      </c>
      <c r="O19" s="1">
        <v>0.67647316712302596</v>
      </c>
      <c r="P19" s="1">
        <v>1</v>
      </c>
      <c r="Q19" s="1">
        <v>0.93435966717932994</v>
      </c>
      <c r="R19" s="1">
        <v>0.97052441998614702</v>
      </c>
    </row>
    <row r="20" spans="3:18" x14ac:dyDescent="0.2">
      <c r="C20" s="1" t="s">
        <v>17</v>
      </c>
      <c r="D20" s="1"/>
      <c r="E20" s="1">
        <v>0</v>
      </c>
      <c r="F20" s="1">
        <v>1.0924878953773301E-2</v>
      </c>
      <c r="G20" s="1">
        <v>0</v>
      </c>
      <c r="H20" s="1">
        <v>0</v>
      </c>
      <c r="I20" s="1">
        <v>8.5328821342297398E-2</v>
      </c>
      <c r="J20" s="1">
        <v>1</v>
      </c>
      <c r="K20" s="1">
        <v>1</v>
      </c>
      <c r="L20" s="1">
        <v>1</v>
      </c>
      <c r="M20" s="1">
        <v>0.82534758340964798</v>
      </c>
      <c r="N20" s="1">
        <v>0.33851240738523902</v>
      </c>
      <c r="O20" s="1">
        <v>0.32352683287697398</v>
      </c>
      <c r="P20" s="1">
        <v>0</v>
      </c>
      <c r="Q20" s="1">
        <v>2.8879789799812899E-2</v>
      </c>
      <c r="R20" s="1">
        <v>2.9475580013852799E-2</v>
      </c>
    </row>
    <row r="21" spans="3:18" x14ac:dyDescent="0.2">
      <c r="C21" s="1" t="s">
        <v>18</v>
      </c>
      <c r="D21" s="1" t="s">
        <v>68</v>
      </c>
      <c r="E21" s="1">
        <v>-120550.54710084182</v>
      </c>
      <c r="F21" s="1">
        <v>-124.50177201368352</v>
      </c>
      <c r="G21" s="1">
        <v>-149851.14575149707</v>
      </c>
      <c r="H21" s="1">
        <v>-341555.28088102199</v>
      </c>
      <c r="I21" s="1">
        <v>-151314.74123083122</v>
      </c>
      <c r="J21" s="1">
        <v>-115135.83268708734</v>
      </c>
      <c r="K21" s="1">
        <v>-115135.83268708734</v>
      </c>
      <c r="L21" s="1">
        <v>-140744.99999999985</v>
      </c>
      <c r="M21" s="1">
        <v>-113885.68343643393</v>
      </c>
      <c r="N21" s="1">
        <v>-142965.29748438296</v>
      </c>
      <c r="O21" s="1">
        <v>-140651.96875925444</v>
      </c>
      <c r="P21" s="1">
        <v>-178516.66855446066</v>
      </c>
      <c r="Q21" s="1">
        <v>-104446.96593005605</v>
      </c>
      <c r="R21" s="1">
        <v>-110539.23050569114</v>
      </c>
    </row>
    <row r="22" spans="3:18" x14ac:dyDescent="0.2">
      <c r="C22" s="1" t="s">
        <v>19</v>
      </c>
      <c r="D22" s="1" t="s">
        <v>69</v>
      </c>
      <c r="E22" s="1">
        <v>-2247.8037895013758</v>
      </c>
      <c r="F22" s="1">
        <v>-3.862327372156396</v>
      </c>
      <c r="G22" s="1">
        <v>-2182.158610068157</v>
      </c>
      <c r="H22" s="1">
        <v>-3106.5843551813077</v>
      </c>
      <c r="I22" s="1">
        <v>-3421.6814465715338</v>
      </c>
      <c r="J22" s="1">
        <v>-4807.6748821457913</v>
      </c>
      <c r="K22" s="1">
        <v>-4807.6748821457913</v>
      </c>
      <c r="L22" s="1">
        <v>-1449.4850669412963</v>
      </c>
      <c r="M22" s="1">
        <v>-1460.0448850021328</v>
      </c>
      <c r="N22" s="1">
        <v>-2753.8840171320098</v>
      </c>
      <c r="O22" s="1">
        <v>-3180.5640878909903</v>
      </c>
      <c r="P22" s="1">
        <v>-2402.3898341449312</v>
      </c>
      <c r="Q22" s="1">
        <v>-1933.8029009346778</v>
      </c>
      <c r="R22" s="1">
        <v>-2000.7217596967182</v>
      </c>
    </row>
    <row r="23" spans="3:18" x14ac:dyDescent="0.2">
      <c r="C23" s="1" t="s">
        <v>20</v>
      </c>
      <c r="D23" s="1" t="s">
        <v>70</v>
      </c>
      <c r="E23" s="1">
        <v>-62.810390116063417</v>
      </c>
      <c r="F23" s="1">
        <v>-0.49735629057581432</v>
      </c>
      <c r="G23" s="1">
        <v>-72.890955931707651</v>
      </c>
      <c r="H23" s="1">
        <v>-87.195817767493267</v>
      </c>
      <c r="I23" s="1">
        <v>-51.829499166105393</v>
      </c>
      <c r="J23" s="1">
        <v>-34.727264700525133</v>
      </c>
      <c r="K23" s="1">
        <v>-34.727264700525133</v>
      </c>
      <c r="L23" s="1">
        <v>-472.07621782273378</v>
      </c>
      <c r="M23" s="1">
        <v>-101.87391578841942</v>
      </c>
      <c r="N23" s="1">
        <v>-63.041492258486286</v>
      </c>
      <c r="O23" s="1">
        <v>-52.977009698010662</v>
      </c>
      <c r="P23" s="1">
        <v>-80.058740008369682</v>
      </c>
      <c r="Q23" s="1">
        <v>-36.462247351648244</v>
      </c>
      <c r="R23" s="1">
        <v>-38.984790206698761</v>
      </c>
    </row>
    <row r="24" spans="3:18" x14ac:dyDescent="0.2">
      <c r="C24" s="1" t="s">
        <v>21</v>
      </c>
      <c r="D24" s="1" t="s">
        <v>71</v>
      </c>
      <c r="E24" s="1">
        <v>-1.1711720628264257</v>
      </c>
      <c r="F24" s="1">
        <v>-1.5429120274641659E-2</v>
      </c>
      <c r="G24" s="1">
        <v>-1.0614508570141203</v>
      </c>
      <c r="H24" s="1">
        <v>-0.79308146726647788</v>
      </c>
      <c r="I24" s="1">
        <v>-1.1720208767447093</v>
      </c>
      <c r="J24" s="1">
        <v>-1.4500906827164277</v>
      </c>
      <c r="K24" s="1">
        <v>-1.4500906827164277</v>
      </c>
      <c r="L24" s="1">
        <v>-4.8617530156821198</v>
      </c>
      <c r="M24" s="1">
        <v>-1.3060508149388268</v>
      </c>
      <c r="N24" s="1">
        <v>-1.2143433476628211</v>
      </c>
      <c r="O24" s="1">
        <v>-1.1979695415266551</v>
      </c>
      <c r="P24" s="1">
        <v>-1.077391286135748</v>
      </c>
      <c r="Q24" s="1">
        <v>-0.67508710353954571</v>
      </c>
      <c r="R24" s="1">
        <v>-0.70561119076849377</v>
      </c>
    </row>
    <row r="25" spans="3:18" x14ac:dyDescent="0.2">
      <c r="C25" s="1" t="s">
        <v>22</v>
      </c>
      <c r="D25" s="1" t="s">
        <v>72</v>
      </c>
      <c r="E25" s="1">
        <v>3.0441322361353607E-2</v>
      </c>
      <c r="F25" s="1">
        <v>3.4192429844706833E-5</v>
      </c>
      <c r="G25" s="1">
        <v>2.5475373613562977E-2</v>
      </c>
      <c r="H25" s="1">
        <v>3.3327293531972266E-2</v>
      </c>
      <c r="I25" s="1">
        <v>4.0551680777512637E-2</v>
      </c>
      <c r="J25" s="1">
        <v>6.0827250608272633E-2</v>
      </c>
      <c r="K25" s="1">
        <v>6.0827250608272633E-2</v>
      </c>
      <c r="L25" s="1">
        <v>4.9504950495049542E-2</v>
      </c>
      <c r="M25" s="1">
        <v>3.3671554339493467E-2</v>
      </c>
      <c r="N25" s="1">
        <v>3.7748370427634056E-2</v>
      </c>
      <c r="O25" s="1">
        <v>3.1013771285025835E-2</v>
      </c>
      <c r="P25" s="1">
        <v>1.7954700964544167E-2</v>
      </c>
      <c r="Q25" s="1">
        <v>4.8531831903022893E-4</v>
      </c>
      <c r="R25" s="1">
        <v>1.4033751895172291E-2</v>
      </c>
    </row>
    <row r="26" spans="3:18" x14ac:dyDescent="0.2">
      <c r="C26" s="1" t="s">
        <v>23</v>
      </c>
      <c r="D26" s="1" t="s">
        <v>73</v>
      </c>
      <c r="E26" s="1">
        <v>1.6325793569145601</v>
      </c>
      <c r="F26" s="1">
        <v>1.1021898702343301E-3</v>
      </c>
      <c r="G26" s="1">
        <v>1.74942092056298</v>
      </c>
      <c r="H26" s="1">
        <v>3.6641892837488101</v>
      </c>
      <c r="I26" s="1">
        <v>1.7932899888950302</v>
      </c>
      <c r="J26" s="1">
        <v>1.4567116788321199</v>
      </c>
      <c r="K26" s="1">
        <v>1.4567116788321199</v>
      </c>
      <c r="L26" s="1">
        <v>4.8069306930693099</v>
      </c>
      <c r="M26" s="1">
        <v>2.6264315691326403</v>
      </c>
      <c r="N26" s="1">
        <v>1.95967113145081</v>
      </c>
      <c r="O26" s="1">
        <v>1.3715013655897201</v>
      </c>
      <c r="P26" s="1">
        <v>1.3341770579972498</v>
      </c>
      <c r="Q26" s="1">
        <v>2.62126124169542E-2</v>
      </c>
      <c r="R26" s="1">
        <v>0.775360255908489</v>
      </c>
    </row>
    <row r="27" spans="3:18" x14ac:dyDescent="0.2">
      <c r="C27" s="1" t="s">
        <v>24</v>
      </c>
      <c r="D27" s="1" t="s">
        <v>74</v>
      </c>
      <c r="E27" s="1">
        <v>-115512.13918270984</v>
      </c>
      <c r="F27" s="1">
        <v>-9.820417407161246</v>
      </c>
      <c r="G27" s="1">
        <v>-72291.033905099495</v>
      </c>
      <c r="H27" s="1">
        <v>-26062.497063519248</v>
      </c>
      <c r="I27" s="1">
        <v>-210001.24256125349</v>
      </c>
      <c r="J27" s="1">
        <v>-95461.375262606001</v>
      </c>
      <c r="K27" s="1">
        <v>-80127.914702430033</v>
      </c>
      <c r="L27" s="1">
        <v>-40263.474081702712</v>
      </c>
      <c r="M27" s="1">
        <v>-46601.735767442886</v>
      </c>
      <c r="N27" s="1">
        <v>-256914.55871637145</v>
      </c>
      <c r="O27" s="1">
        <v>-195202.97869109196</v>
      </c>
      <c r="P27" s="1">
        <v>-99741.603428486371</v>
      </c>
      <c r="Q27" s="1">
        <v>-153094.65704990239</v>
      </c>
      <c r="R27" s="1">
        <v>-153305.39852114726</v>
      </c>
    </row>
    <row r="28" spans="3:18" x14ac:dyDescent="0.2">
      <c r="C28" s="1" t="s">
        <v>25</v>
      </c>
      <c r="D28" s="1"/>
      <c r="E28" s="1">
        <v>53.630369191424499</v>
      </c>
      <c r="F28" s="1">
        <v>32.234909166742199</v>
      </c>
      <c r="G28" s="1">
        <v>68.671060417013706</v>
      </c>
      <c r="H28" s="1">
        <v>109.9456</v>
      </c>
      <c r="I28" s="1">
        <v>44.222334426381501</v>
      </c>
      <c r="J28" s="1">
        <v>23.948340000000002</v>
      </c>
      <c r="K28" s="1">
        <v>23.948340000000002</v>
      </c>
      <c r="L28" s="1">
        <v>97.1</v>
      </c>
      <c r="M28" s="1">
        <v>78.001494752859998</v>
      </c>
      <c r="N28" s="1">
        <v>51.914059050777297</v>
      </c>
      <c r="O28" s="1">
        <v>44.222334426381501</v>
      </c>
      <c r="P28" s="1">
        <v>74.307952030607495</v>
      </c>
      <c r="Q28" s="1">
        <v>54.011174499517502</v>
      </c>
      <c r="R28" s="1">
        <v>55.249676757875299</v>
      </c>
    </row>
    <row r="29" spans="3:18" ht="15" customHeight="1" x14ac:dyDescent="0.2">
      <c r="C29" s="1" t="s">
        <v>26</v>
      </c>
      <c r="D29" s="1" t="s">
        <v>75</v>
      </c>
      <c r="E29" s="1">
        <v>3.4495380656372925</v>
      </c>
      <c r="F29" s="1">
        <v>0.28395983522142132</v>
      </c>
      <c r="G29" s="1">
        <v>1.7367082564048941</v>
      </c>
      <c r="H29" s="1">
        <v>0.27469927909371833</v>
      </c>
      <c r="I29" s="1">
        <v>4.9962380867256204</v>
      </c>
      <c r="J29" s="1">
        <v>2.9848305512270175</v>
      </c>
      <c r="K29" s="1">
        <v>2.5053928581271196</v>
      </c>
      <c r="L29" s="1">
        <v>1.0298661174047368</v>
      </c>
      <c r="M29" s="1">
        <v>1.4731109626824486</v>
      </c>
      <c r="N29" s="1">
        <v>6.4693490494080921</v>
      </c>
      <c r="O29" s="1">
        <v>4.996238086725624</v>
      </c>
      <c r="P29" s="1">
        <v>2.0114075354986136</v>
      </c>
      <c r="Q29" s="1">
        <v>5.27675227778973</v>
      </c>
      <c r="R29" s="1">
        <v>4.9927924425683141</v>
      </c>
    </row>
    <row r="30" spans="3:18" x14ac:dyDescent="0.2">
      <c r="C30" s="1" t="s">
        <v>27</v>
      </c>
      <c r="D30" s="1" t="s">
        <v>75</v>
      </c>
      <c r="E30" s="1">
        <v>1.5803251462092194</v>
      </c>
      <c r="F30" s="1">
        <v>0</v>
      </c>
      <c r="G30" s="1">
        <v>0.63791114003002103</v>
      </c>
      <c r="H30" s="1">
        <v>0</v>
      </c>
      <c r="I30" s="1">
        <v>2.8355053727797626</v>
      </c>
      <c r="J30" s="1">
        <v>0</v>
      </c>
      <c r="K30" s="1">
        <v>0</v>
      </c>
      <c r="L30" s="1">
        <v>0</v>
      </c>
      <c r="M30" s="1">
        <v>0</v>
      </c>
      <c r="N30" s="1">
        <v>2.8355053727797688</v>
      </c>
      <c r="O30" s="1">
        <v>0.63791114003002203</v>
      </c>
      <c r="P30" s="1">
        <v>0.63791114003002258</v>
      </c>
      <c r="Q30" s="1">
        <v>2.8355053727797732</v>
      </c>
      <c r="R30" s="1">
        <v>2.8355053727797794</v>
      </c>
    </row>
    <row r="31" spans="3:18" x14ac:dyDescent="0.2">
      <c r="C31" s="1" t="s">
        <v>28</v>
      </c>
      <c r="D31" s="1" t="s">
        <v>75</v>
      </c>
      <c r="E31" s="1">
        <v>1.4508641359028405</v>
      </c>
      <c r="F31" s="1">
        <v>0</v>
      </c>
      <c r="G31" s="1">
        <v>1.0987971163748731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7.7367740434251528E-2</v>
      </c>
      <c r="N31" s="1">
        <v>7.7367740434252014E-2</v>
      </c>
      <c r="O31" s="1">
        <v>1.0987971163748702</v>
      </c>
      <c r="P31" s="1">
        <v>1.0987971163748729</v>
      </c>
      <c r="Q31" s="1">
        <v>7.7367740434252097E-2</v>
      </c>
      <c r="R31" s="1">
        <v>7.7367740434252083E-2</v>
      </c>
    </row>
    <row r="32" spans="3:18" x14ac:dyDescent="0.2">
      <c r="C32" s="1" t="s">
        <v>29</v>
      </c>
      <c r="D32" s="1" t="s">
        <v>75</v>
      </c>
      <c r="E32" s="1">
        <v>0.41834878352523236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0.36690697096086466</v>
      </c>
      <c r="N32" s="1">
        <v>0.36690697096086544</v>
      </c>
      <c r="O32" s="1">
        <v>0</v>
      </c>
      <c r="P32" s="1">
        <v>0</v>
      </c>
      <c r="Q32" s="1">
        <v>0.36690697096086561</v>
      </c>
      <c r="R32" s="1">
        <v>0.36690697096086577</v>
      </c>
    </row>
    <row r="33" spans="3:18" x14ac:dyDescent="0.2">
      <c r="C33" s="1" t="s">
        <v>30</v>
      </c>
      <c r="D33" s="1" t="s">
        <v>75</v>
      </c>
      <c r="E33" s="1">
        <v>0</v>
      </c>
      <c r="F33" s="1">
        <v>0.28292996910401685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0.2829299691040178</v>
      </c>
      <c r="R33" s="1">
        <v>0</v>
      </c>
    </row>
    <row r="34" spans="3:18" x14ac:dyDescent="0.2">
      <c r="C34" s="1" t="s">
        <v>31</v>
      </c>
      <c r="D34" s="1" t="s">
        <v>75</v>
      </c>
      <c r="E34" s="1">
        <v>0</v>
      </c>
      <c r="F34" s="1">
        <v>0</v>
      </c>
      <c r="G34" s="1">
        <v>0</v>
      </c>
      <c r="H34" s="1">
        <v>0</v>
      </c>
      <c r="I34" s="1">
        <v>0.78723631847726927</v>
      </c>
      <c r="J34" s="1">
        <v>2.9848305512270175</v>
      </c>
      <c r="K34" s="1">
        <v>2.5053928581271196</v>
      </c>
      <c r="L34" s="1">
        <v>0</v>
      </c>
      <c r="M34" s="1">
        <v>0</v>
      </c>
      <c r="N34" s="1">
        <v>0.78723631847727471</v>
      </c>
      <c r="O34" s="1">
        <v>2.9848305512270144</v>
      </c>
      <c r="P34" s="1">
        <v>0</v>
      </c>
      <c r="Q34" s="1">
        <v>0.33951596292482134</v>
      </c>
      <c r="R34" s="1">
        <v>0.33951596292482167</v>
      </c>
    </row>
    <row r="35" spans="3:18" x14ac:dyDescent="0.2">
      <c r="C35" s="1" t="s">
        <v>32</v>
      </c>
      <c r="D35" s="1" t="s">
        <v>75</v>
      </c>
      <c r="E35" s="1">
        <v>0</v>
      </c>
      <c r="F35" s="1">
        <v>0</v>
      </c>
      <c r="G35" s="1">
        <v>0</v>
      </c>
      <c r="H35" s="1">
        <v>0.27469927909371833</v>
      </c>
      <c r="I35" s="1">
        <v>1.3734963954685888</v>
      </c>
      <c r="J35" s="1">
        <v>0</v>
      </c>
      <c r="K35" s="1">
        <v>0</v>
      </c>
      <c r="L35" s="1">
        <v>0</v>
      </c>
      <c r="M35" s="1">
        <v>0</v>
      </c>
      <c r="N35" s="1">
        <v>1.373496395468595</v>
      </c>
      <c r="O35" s="1">
        <v>0.27469927909371777</v>
      </c>
      <c r="P35" s="1">
        <v>0.27469927909371822</v>
      </c>
      <c r="Q35" s="1">
        <v>0.34466014418125779</v>
      </c>
      <c r="R35" s="1">
        <v>0.34466014418125801</v>
      </c>
    </row>
    <row r="36" spans="3:18" x14ac:dyDescent="0.2">
      <c r="C36" s="1" t="s">
        <v>33</v>
      </c>
      <c r="D36" s="1" t="s">
        <v>75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0.72018537590113441</v>
      </c>
      <c r="R36" s="1">
        <v>0.72018537590113541</v>
      </c>
    </row>
    <row r="37" spans="3:18" x14ac:dyDescent="0.2">
      <c r="C37" s="1" t="s">
        <v>34</v>
      </c>
      <c r="D37" s="1" t="s">
        <v>75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0.15432543769310081</v>
      </c>
      <c r="R37" s="1">
        <v>0.15432543769310086</v>
      </c>
    </row>
    <row r="38" spans="3:18" x14ac:dyDescent="0.2">
      <c r="C38" s="1" t="s">
        <v>35</v>
      </c>
      <c r="D38" s="1" t="s">
        <v>75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0.15432543769310081</v>
      </c>
      <c r="R38" s="1">
        <v>0.15432543769310086</v>
      </c>
    </row>
    <row r="39" spans="3:18" x14ac:dyDescent="0.2">
      <c r="C39" s="1" t="s">
        <v>36</v>
      </c>
      <c r="D39" s="1" t="s">
        <v>75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0.15432543769309964</v>
      </c>
      <c r="N39" s="1">
        <v>0.15432543769310048</v>
      </c>
      <c r="O39" s="1">
        <v>0</v>
      </c>
      <c r="P39" s="1">
        <v>0</v>
      </c>
      <c r="Q39" s="1">
        <v>0</v>
      </c>
      <c r="R39" s="1">
        <v>0</v>
      </c>
    </row>
    <row r="40" spans="3:18" x14ac:dyDescent="0.2">
      <c r="C40" s="1" t="s">
        <v>37</v>
      </c>
      <c r="D40" s="1" t="s">
        <v>75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0.15432543769309964</v>
      </c>
      <c r="N40" s="1">
        <v>0.15432543769310048</v>
      </c>
      <c r="O40" s="1">
        <v>0</v>
      </c>
      <c r="P40" s="1">
        <v>0</v>
      </c>
      <c r="Q40" s="1">
        <v>0</v>
      </c>
      <c r="R40" s="1">
        <v>0</v>
      </c>
    </row>
    <row r="41" spans="3:18" x14ac:dyDescent="0.2">
      <c r="C41" s="1" t="s">
        <v>38</v>
      </c>
      <c r="D41" s="1" t="s">
        <v>75</v>
      </c>
      <c r="E41" s="1">
        <v>0</v>
      </c>
      <c r="F41" s="1">
        <v>1.0298661174044908E-3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1.0298661174047368</v>
      </c>
      <c r="M41" s="1">
        <v>0</v>
      </c>
      <c r="N41" s="1">
        <v>0</v>
      </c>
      <c r="O41" s="1">
        <v>0</v>
      </c>
      <c r="P41" s="1">
        <v>0</v>
      </c>
      <c r="Q41" s="1">
        <v>1.0298661174044964E-3</v>
      </c>
      <c r="R41" s="1">
        <v>0</v>
      </c>
    </row>
    <row r="42" spans="3:18" x14ac:dyDescent="0.2">
      <c r="C42" s="1" t="s">
        <v>39</v>
      </c>
      <c r="D42" s="1" t="s">
        <v>75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3:18" x14ac:dyDescent="0.2">
      <c r="C43" s="1" t="s">
        <v>40</v>
      </c>
      <c r="D43" s="1" t="s">
        <v>75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3:18" x14ac:dyDescent="0.2">
      <c r="C44" s="1" t="s">
        <v>41</v>
      </c>
      <c r="D44" s="1" t="s">
        <v>75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3:18" x14ac:dyDescent="0.2">
      <c r="C45" s="1" t="s">
        <v>42</v>
      </c>
      <c r="D45" s="1" t="s">
        <v>75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3:18" x14ac:dyDescent="0.2">
      <c r="C46" s="1" t="s">
        <v>43</v>
      </c>
      <c r="D46" s="1" t="s">
        <v>75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3:18" x14ac:dyDescent="0.2">
      <c r="C47" s="1" t="s">
        <v>44</v>
      </c>
      <c r="D47" s="1" t="s">
        <v>75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3:18" x14ac:dyDescent="0.2">
      <c r="C48" s="1" t="s">
        <v>45</v>
      </c>
      <c r="D48" s="1" t="s">
        <v>75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3:18" x14ac:dyDescent="0.2">
      <c r="C49" s="1" t="s">
        <v>46</v>
      </c>
      <c r="D49" s="1" t="s">
        <v>75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3:18" x14ac:dyDescent="0.2">
      <c r="C50" s="1" t="s">
        <v>47</v>
      </c>
      <c r="D50" s="1" t="s">
        <v>75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3:18" x14ac:dyDescent="0.2">
      <c r="C51" s="1" t="s">
        <v>48</v>
      </c>
      <c r="D51" s="1" t="s">
        <v>75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3:18" x14ac:dyDescent="0.2">
      <c r="C52" s="1" t="s">
        <v>49</v>
      </c>
      <c r="D52" s="1" t="s">
        <v>75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3:18" x14ac:dyDescent="0.2">
      <c r="C53" s="1" t="s">
        <v>50</v>
      </c>
      <c r="D53" s="1" t="s">
        <v>75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3:18" x14ac:dyDescent="0.2">
      <c r="C54" s="1" t="s">
        <v>51</v>
      </c>
      <c r="D54" s="1" t="s">
        <v>75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3:18" x14ac:dyDescent="0.2">
      <c r="C55" s="1" t="s">
        <v>52</v>
      </c>
      <c r="D55" s="1" t="s">
        <v>75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3:18" x14ac:dyDescent="0.2">
      <c r="C56" s="1" t="s">
        <v>53</v>
      </c>
      <c r="D56" s="1" t="s">
        <v>75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3:18" x14ac:dyDescent="0.2">
      <c r="C57" s="1" t="s">
        <v>54</v>
      </c>
      <c r="D57" s="1" t="s">
        <v>75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3:18" x14ac:dyDescent="0.2">
      <c r="C58" s="1" t="s">
        <v>55</v>
      </c>
      <c r="D58" s="1" t="s">
        <v>75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3:18" x14ac:dyDescent="0.2">
      <c r="C59" s="1" t="s">
        <v>56</v>
      </c>
      <c r="D59" s="1" t="s">
        <v>75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0.72018537590113307</v>
      </c>
      <c r="N59" s="1">
        <v>0.72018537590113552</v>
      </c>
      <c r="O59" s="1">
        <v>0</v>
      </c>
      <c r="P59" s="1">
        <v>0</v>
      </c>
      <c r="Q59" s="1">
        <v>0</v>
      </c>
      <c r="R59" s="1">
        <v>0</v>
      </c>
    </row>
    <row r="60" spans="3:18" x14ac:dyDescent="0.2">
      <c r="C60" s="1" t="s">
        <v>57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3:18" x14ac:dyDescent="0.2">
      <c r="C61" s="1" t="s">
        <v>27</v>
      </c>
      <c r="D61" s="1"/>
      <c r="E61" s="1">
        <v>0.45812660018211998</v>
      </c>
      <c r="F61" s="1">
        <v>0</v>
      </c>
      <c r="G61" s="1">
        <v>0.36731047812862999</v>
      </c>
      <c r="H61" s="1">
        <v>0</v>
      </c>
      <c r="I61" s="1">
        <v>0.567528072834108</v>
      </c>
      <c r="J61" s="1">
        <v>0</v>
      </c>
      <c r="K61" s="1">
        <v>0</v>
      </c>
      <c r="L61" s="1">
        <v>0</v>
      </c>
      <c r="M61" s="1">
        <v>0</v>
      </c>
      <c r="N61" s="1">
        <v>0.43829840546928001</v>
      </c>
      <c r="O61" s="1">
        <v>0.12767829093750999</v>
      </c>
      <c r="P61" s="1">
        <v>0.31714663924230002</v>
      </c>
      <c r="Q61" s="1">
        <v>0.537358061077576</v>
      </c>
      <c r="R61" s="1">
        <v>0.567919737380708</v>
      </c>
    </row>
    <row r="62" spans="3:18" x14ac:dyDescent="0.2">
      <c r="C62" s="1" t="s">
        <v>28</v>
      </c>
      <c r="D62" s="1"/>
      <c r="E62" s="1">
        <v>0.42059664462197999</v>
      </c>
      <c r="F62" s="1">
        <v>0</v>
      </c>
      <c r="G62" s="1">
        <v>0.63268952187136995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5.2519967873546597E-2</v>
      </c>
      <c r="N62" s="1">
        <v>1.19591229107248E-2</v>
      </c>
      <c r="O62" s="1">
        <v>0.21992489094829901</v>
      </c>
      <c r="P62" s="1">
        <v>0.54628268860616003</v>
      </c>
      <c r="Q62" s="1">
        <v>1.46619997228028E-2</v>
      </c>
      <c r="R62" s="1">
        <v>1.54958855839106E-2</v>
      </c>
    </row>
    <row r="63" spans="3:18" x14ac:dyDescent="0.2">
      <c r="C63" s="1" t="s">
        <v>29</v>
      </c>
      <c r="D63" s="1"/>
      <c r="E63" s="1">
        <v>0.1212767551959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0.24906947287443201</v>
      </c>
      <c r="N63" s="1">
        <v>5.6714666059707403E-2</v>
      </c>
      <c r="O63" s="1">
        <v>0</v>
      </c>
      <c r="P63" s="1">
        <v>0</v>
      </c>
      <c r="Q63" s="1">
        <v>6.9532726124970107E-2</v>
      </c>
      <c r="R63" s="1">
        <v>7.3487327018170095E-2</v>
      </c>
    </row>
    <row r="64" spans="3:18" x14ac:dyDescent="0.2">
      <c r="C64" s="1" t="s">
        <v>30</v>
      </c>
      <c r="D64" s="1"/>
      <c r="E64" s="1">
        <v>0</v>
      </c>
      <c r="F64" s="1">
        <v>0.99637319793272405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5.3618201918421003E-2</v>
      </c>
      <c r="R64" s="1">
        <v>0</v>
      </c>
    </row>
    <row r="65" spans="3:18" x14ac:dyDescent="0.2">
      <c r="C65" s="1" t="s">
        <v>31</v>
      </c>
      <c r="D65" s="1"/>
      <c r="E65" s="1">
        <v>0</v>
      </c>
      <c r="F65" s="1">
        <v>0</v>
      </c>
      <c r="G65" s="1">
        <v>0</v>
      </c>
      <c r="H65" s="1">
        <v>0</v>
      </c>
      <c r="I65" s="1">
        <v>0.15756581348051801</v>
      </c>
      <c r="J65" s="1">
        <v>1</v>
      </c>
      <c r="K65" s="1">
        <v>1</v>
      </c>
      <c r="L65" s="1">
        <v>0</v>
      </c>
      <c r="M65" s="1">
        <v>0</v>
      </c>
      <c r="N65" s="1">
        <v>0.121687099036541</v>
      </c>
      <c r="O65" s="1">
        <v>0.59741559537711697</v>
      </c>
      <c r="P65" s="1">
        <v>0</v>
      </c>
      <c r="Q65" s="1">
        <v>6.4341842302105198E-2</v>
      </c>
      <c r="R65" s="1">
        <v>6.8001217120528507E-2</v>
      </c>
    </row>
    <row r="66" spans="3:18" x14ac:dyDescent="0.2">
      <c r="C66" s="1" t="s">
        <v>32</v>
      </c>
      <c r="D66" s="1"/>
      <c r="E66" s="1">
        <v>0</v>
      </c>
      <c r="F66" s="1">
        <v>0</v>
      </c>
      <c r="G66" s="1">
        <v>0</v>
      </c>
      <c r="H66" s="1">
        <v>1</v>
      </c>
      <c r="I66" s="1">
        <v>0.27490611368537399</v>
      </c>
      <c r="J66" s="1">
        <v>0</v>
      </c>
      <c r="K66" s="1">
        <v>0</v>
      </c>
      <c r="L66" s="1">
        <v>0</v>
      </c>
      <c r="M66" s="1">
        <v>0</v>
      </c>
      <c r="N66" s="1">
        <v>0.212308284029637</v>
      </c>
      <c r="O66" s="1">
        <v>5.49812227370748E-2</v>
      </c>
      <c r="P66" s="1">
        <v>0.13657067215154001</v>
      </c>
      <c r="Q66" s="1">
        <v>6.5316718700621904E-2</v>
      </c>
      <c r="R66" s="1">
        <v>6.9031538592051606E-2</v>
      </c>
    </row>
    <row r="67" spans="3:18" x14ac:dyDescent="0.2">
      <c r="C67" s="1" t="s">
        <v>33</v>
      </c>
      <c r="D67" s="1"/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0.13648269579234401</v>
      </c>
      <c r="R67" s="1">
        <v>0.144245006013242</v>
      </c>
    </row>
    <row r="68" spans="3:18" x14ac:dyDescent="0.2">
      <c r="C68" s="1" t="s">
        <v>34</v>
      </c>
      <c r="D68" s="1"/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2.92462919555024E-2</v>
      </c>
      <c r="R68" s="1">
        <v>3.09096441456948E-2</v>
      </c>
    </row>
    <row r="69" spans="3:18" x14ac:dyDescent="0.2">
      <c r="C69" s="1" t="s">
        <v>35</v>
      </c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2.92462919555024E-2</v>
      </c>
      <c r="R69" s="1">
        <v>3.09096441456948E-2</v>
      </c>
    </row>
    <row r="70" spans="3:18" x14ac:dyDescent="0.2">
      <c r="C70" s="1" t="s">
        <v>36</v>
      </c>
      <c r="D70" s="1"/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0.104761583887803</v>
      </c>
      <c r="N70" s="1">
        <v>2.3854863374116499E-2</v>
      </c>
      <c r="O70" s="1">
        <v>0</v>
      </c>
      <c r="P70" s="1">
        <v>0</v>
      </c>
      <c r="Q70" s="1">
        <v>0</v>
      </c>
      <c r="R70" s="1">
        <v>0</v>
      </c>
    </row>
    <row r="71" spans="3:18" x14ac:dyDescent="0.2">
      <c r="C71" s="1" t="s">
        <v>37</v>
      </c>
      <c r="D71" s="1"/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0.104761583887803</v>
      </c>
      <c r="N71" s="1">
        <v>2.3854863374116499E-2</v>
      </c>
      <c r="O71" s="1">
        <v>0</v>
      </c>
      <c r="P71" s="1">
        <v>0</v>
      </c>
      <c r="Q71" s="1">
        <v>0</v>
      </c>
      <c r="R71" s="1">
        <v>0</v>
      </c>
    </row>
    <row r="72" spans="3:18" x14ac:dyDescent="0.2">
      <c r="C72" s="1" t="s">
        <v>38</v>
      </c>
      <c r="D72" s="1"/>
      <c r="E72" s="1">
        <v>0</v>
      </c>
      <c r="F72" s="1">
        <v>3.6268020672763101E-3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1.95170450153456E-4</v>
      </c>
      <c r="R72" s="1">
        <v>0</v>
      </c>
    </row>
    <row r="73" spans="3:18" x14ac:dyDescent="0.2">
      <c r="C73" s="1" t="s">
        <v>39</v>
      </c>
      <c r="D73" s="1"/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3:18" x14ac:dyDescent="0.2">
      <c r="C74" s="1" t="s">
        <v>40</v>
      </c>
      <c r="D74" s="1"/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3:18" x14ac:dyDescent="0.2">
      <c r="C75" s="1" t="s">
        <v>41</v>
      </c>
      <c r="D75" s="1"/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3:18" x14ac:dyDescent="0.2">
      <c r="C76" s="1" t="s">
        <v>42</v>
      </c>
      <c r="D76" s="1"/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3:18" x14ac:dyDescent="0.2">
      <c r="C77" s="1" t="s">
        <v>43</v>
      </c>
      <c r="D77" s="1"/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3:18" x14ac:dyDescent="0.2">
      <c r="C78" s="1" t="s">
        <v>44</v>
      </c>
      <c r="D78" s="1"/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3:18" x14ac:dyDescent="0.2">
      <c r="C79" s="1" t="s">
        <v>45</v>
      </c>
      <c r="D79" s="1"/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3:18" x14ac:dyDescent="0.2">
      <c r="C80" s="1" t="s">
        <v>46</v>
      </c>
      <c r="D80" s="1"/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3:18" x14ac:dyDescent="0.2">
      <c r="C81" s="1" t="s">
        <v>47</v>
      </c>
      <c r="D81" s="1"/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3:18" x14ac:dyDescent="0.2">
      <c r="C82" s="1" t="s">
        <v>48</v>
      </c>
      <c r="D82" s="1"/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3:18" x14ac:dyDescent="0.2">
      <c r="C83" s="1" t="s">
        <v>49</v>
      </c>
      <c r="D83" s="1"/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3:18" x14ac:dyDescent="0.2">
      <c r="C84" s="1" t="s">
        <v>50</v>
      </c>
      <c r="D84" s="1"/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3:18" x14ac:dyDescent="0.2">
      <c r="C85" s="1" t="s">
        <v>51</v>
      </c>
      <c r="D85" s="1"/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3:18" x14ac:dyDescent="0.2">
      <c r="C86" s="1" t="s">
        <v>52</v>
      </c>
      <c r="D86" s="1"/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3:18" x14ac:dyDescent="0.2">
      <c r="C87" s="1" t="s">
        <v>53</v>
      </c>
      <c r="D87" s="1"/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3:18" x14ac:dyDescent="0.2">
      <c r="C88" s="1" t="s">
        <v>54</v>
      </c>
      <c r="D88" s="1"/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3:18" x14ac:dyDescent="0.2">
      <c r="C89" s="1" t="s">
        <v>55</v>
      </c>
      <c r="D89" s="1"/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3:18" x14ac:dyDescent="0.2">
      <c r="C90" s="1" t="s">
        <v>56</v>
      </c>
      <c r="D90" s="1"/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0.48888739147641502</v>
      </c>
      <c r="N90" s="1">
        <v>0.111322695745877</v>
      </c>
      <c r="O90" s="1">
        <v>0</v>
      </c>
      <c r="P90" s="1">
        <v>0</v>
      </c>
      <c r="Q90" s="1">
        <v>0</v>
      </c>
      <c r="R90" s="1">
        <v>0</v>
      </c>
    </row>
    <row r="91" spans="3:18" x14ac:dyDescent="0.2">
      <c r="C91" s="1" t="s">
        <v>58</v>
      </c>
      <c r="D91" s="1" t="s">
        <v>76</v>
      </c>
      <c r="E91" s="1">
        <v>185.00000000000023</v>
      </c>
      <c r="F91" s="1">
        <v>9.1534194953655774</v>
      </c>
      <c r="G91" s="1">
        <v>119.26159760230688</v>
      </c>
      <c r="H91" s="1">
        <v>30.201977059526318</v>
      </c>
      <c r="I91" s="1">
        <v>220.94531154500513</v>
      </c>
      <c r="J91" s="1">
        <v>71.481736883172189</v>
      </c>
      <c r="K91" s="1">
        <v>60.000000000000078</v>
      </c>
      <c r="L91" s="1">
        <v>100</v>
      </c>
      <c r="M91" s="1">
        <v>114.90485702605579</v>
      </c>
      <c r="N91" s="1">
        <v>335.8501685710612</v>
      </c>
      <c r="O91" s="1">
        <v>220.94531154500527</v>
      </c>
      <c r="P91" s="1">
        <v>149.46357466183349</v>
      </c>
      <c r="Q91" s="1">
        <v>285.00358806642697</v>
      </c>
      <c r="R91" s="1">
        <v>275.85016857106132</v>
      </c>
    </row>
    <row r="92" spans="3:18" x14ac:dyDescent="0.2">
      <c r="C92" s="1" t="s">
        <v>27</v>
      </c>
      <c r="D92" s="1" t="s">
        <v>76</v>
      </c>
      <c r="E92" s="1">
        <v>28.470000000000059</v>
      </c>
      <c r="F92" s="1">
        <v>0</v>
      </c>
      <c r="G92" s="1">
        <v>11.492147802760028</v>
      </c>
      <c r="H92" s="1">
        <v>0</v>
      </c>
      <c r="I92" s="1">
        <v>51.082423232131767</v>
      </c>
      <c r="J92" s="1">
        <v>0</v>
      </c>
      <c r="K92" s="1">
        <v>0</v>
      </c>
      <c r="L92" s="1">
        <v>0</v>
      </c>
      <c r="M92" s="1">
        <v>0</v>
      </c>
      <c r="N92" s="1">
        <v>51.082423232131973</v>
      </c>
      <c r="O92" s="1">
        <v>11.492147802760048</v>
      </c>
      <c r="P92" s="1">
        <v>11.492147802760048</v>
      </c>
      <c r="Q92" s="1">
        <v>51.082423232132022</v>
      </c>
      <c r="R92" s="1">
        <v>51.082423232132001</v>
      </c>
    </row>
    <row r="93" spans="3:18" x14ac:dyDescent="0.2">
      <c r="C93" s="1" t="s">
        <v>28</v>
      </c>
      <c r="D93" s="1" t="s">
        <v>76</v>
      </c>
      <c r="E93" s="1">
        <v>142.30000000000015</v>
      </c>
      <c r="F93" s="1">
        <v>0</v>
      </c>
      <c r="G93" s="1">
        <v>107.76944979954686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7.5881877505663899</v>
      </c>
      <c r="N93" s="1">
        <v>7.5881877505663899</v>
      </c>
      <c r="O93" s="1">
        <v>107.769449799547</v>
      </c>
      <c r="P93" s="1">
        <v>107.76944979954706</v>
      </c>
      <c r="Q93" s="1">
        <v>7.5881877505663855</v>
      </c>
      <c r="R93" s="1">
        <v>7.5881877505663899</v>
      </c>
    </row>
    <row r="94" spans="3:18" x14ac:dyDescent="0.2">
      <c r="C94" s="1" t="s">
        <v>29</v>
      </c>
      <c r="D94" s="1" t="s">
        <v>76</v>
      </c>
      <c r="E94" s="1">
        <v>14.230000000000015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12.480223207003098</v>
      </c>
      <c r="N94" s="1">
        <v>12.480223207003085</v>
      </c>
      <c r="O94" s="1">
        <v>0</v>
      </c>
      <c r="P94" s="1">
        <v>0</v>
      </c>
      <c r="Q94" s="1">
        <v>12.480223207003098</v>
      </c>
      <c r="R94" s="1">
        <v>12.480223207003107</v>
      </c>
    </row>
    <row r="95" spans="3:18" x14ac:dyDescent="0.2">
      <c r="C95" s="1" t="s">
        <v>30</v>
      </c>
      <c r="D95" s="1" t="s">
        <v>76</v>
      </c>
      <c r="E95" s="1">
        <v>0</v>
      </c>
      <c r="F95" s="1">
        <v>9.0534194953656009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9.0534194953656204</v>
      </c>
      <c r="R95" s="1">
        <v>0</v>
      </c>
    </row>
    <row r="96" spans="3:18" ht="15" customHeight="1" x14ac:dyDescent="0.2">
      <c r="C96" s="1" t="s">
        <v>31</v>
      </c>
      <c r="D96" s="1" t="s">
        <v>76</v>
      </c>
      <c r="E96" s="1">
        <v>0</v>
      </c>
      <c r="F96" s="1">
        <v>0</v>
      </c>
      <c r="G96" s="1">
        <v>0</v>
      </c>
      <c r="H96" s="1">
        <v>0</v>
      </c>
      <c r="I96" s="1">
        <v>18.853003015241995</v>
      </c>
      <c r="J96" s="1">
        <v>71.481736883172189</v>
      </c>
      <c r="K96" s="1">
        <v>60.000000000000078</v>
      </c>
      <c r="L96" s="1">
        <v>0</v>
      </c>
      <c r="M96" s="1">
        <v>0</v>
      </c>
      <c r="N96" s="1">
        <v>18.853003015242006</v>
      </c>
      <c r="O96" s="1">
        <v>71.48173688317209</v>
      </c>
      <c r="P96" s="1">
        <v>0</v>
      </c>
      <c r="Q96" s="1">
        <v>8.1308437155509861</v>
      </c>
      <c r="R96" s="1">
        <v>8.1308437155509825</v>
      </c>
    </row>
    <row r="97" spans="3:18" x14ac:dyDescent="0.2">
      <c r="C97" s="1" t="s">
        <v>32</v>
      </c>
      <c r="D97" s="1" t="s">
        <v>76</v>
      </c>
      <c r="E97" s="1">
        <v>0</v>
      </c>
      <c r="F97" s="1">
        <v>0</v>
      </c>
      <c r="G97" s="1">
        <v>0</v>
      </c>
      <c r="H97" s="1">
        <v>30.201977059526318</v>
      </c>
      <c r="I97" s="1">
        <v>151.009885297631</v>
      </c>
      <c r="J97" s="1">
        <v>0</v>
      </c>
      <c r="K97" s="1">
        <v>0</v>
      </c>
      <c r="L97" s="1">
        <v>0</v>
      </c>
      <c r="M97" s="1">
        <v>0</v>
      </c>
      <c r="N97" s="1">
        <v>151.0098852976314</v>
      </c>
      <c r="O97" s="1">
        <v>30.201977059526275</v>
      </c>
      <c r="P97" s="1">
        <v>30.201977059526381</v>
      </c>
      <c r="Q97" s="1">
        <v>37.893866348094789</v>
      </c>
      <c r="R97" s="1">
        <v>37.893866348094789</v>
      </c>
    </row>
    <row r="98" spans="3:18" x14ac:dyDescent="0.2">
      <c r="C98" s="1" t="s">
        <v>33</v>
      </c>
      <c r="D98" s="1" t="s">
        <v>76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111.45127958805389</v>
      </c>
      <c r="R98" s="1">
        <v>111.45127958805378</v>
      </c>
    </row>
    <row r="99" spans="3:18" x14ac:dyDescent="0.2">
      <c r="C99" s="1" t="s">
        <v>34</v>
      </c>
      <c r="D99" s="1" t="s">
        <v>76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23.919949001029917</v>
      </c>
      <c r="R99" s="1">
        <v>23.919949001029909</v>
      </c>
    </row>
    <row r="100" spans="3:18" ht="15" customHeight="1" x14ac:dyDescent="0.2">
      <c r="C100" s="1" t="s">
        <v>35</v>
      </c>
      <c r="D100" s="1" t="s">
        <v>76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23.303395728630324</v>
      </c>
      <c r="R100" s="1">
        <v>23.303395728630324</v>
      </c>
    </row>
    <row r="101" spans="3:18" x14ac:dyDescent="0.2">
      <c r="C101" s="1" t="s">
        <v>36</v>
      </c>
      <c r="D101" s="1" t="s">
        <v>76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14.344222263645779</v>
      </c>
      <c r="N101" s="1">
        <v>14.344222263645735</v>
      </c>
      <c r="O101" s="1">
        <v>0</v>
      </c>
      <c r="P101" s="1">
        <v>0</v>
      </c>
      <c r="Q101" s="1">
        <v>0</v>
      </c>
      <c r="R101" s="1">
        <v>0</v>
      </c>
    </row>
    <row r="102" spans="3:18" x14ac:dyDescent="0.2">
      <c r="C102" s="1" t="s">
        <v>37</v>
      </c>
      <c r="D102" s="1" t="s">
        <v>76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13.727668991246141</v>
      </c>
      <c r="N102" s="1">
        <v>13.72766899124615</v>
      </c>
      <c r="O102" s="1">
        <v>0</v>
      </c>
      <c r="P102" s="1">
        <v>0</v>
      </c>
      <c r="Q102" s="1">
        <v>0</v>
      </c>
      <c r="R102" s="1">
        <v>0</v>
      </c>
    </row>
    <row r="103" spans="3:18" x14ac:dyDescent="0.2">
      <c r="C103" s="1" t="s">
        <v>38</v>
      </c>
      <c r="D103" s="1" t="s">
        <v>76</v>
      </c>
      <c r="E103" s="1">
        <v>0</v>
      </c>
      <c r="F103" s="1">
        <v>9.9999999999975775E-2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100</v>
      </c>
      <c r="M103" s="1">
        <v>0</v>
      </c>
      <c r="N103" s="1">
        <v>0</v>
      </c>
      <c r="O103" s="1">
        <v>0</v>
      </c>
      <c r="P103" s="1">
        <v>0</v>
      </c>
      <c r="Q103" s="1">
        <v>9.9999999999976344E-2</v>
      </c>
      <c r="R103" s="1">
        <v>0</v>
      </c>
    </row>
    <row r="104" spans="3:18" x14ac:dyDescent="0.2">
      <c r="C104" s="1" t="s">
        <v>39</v>
      </c>
      <c r="D104" s="1" t="s">
        <v>76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3:18" x14ac:dyDescent="0.2">
      <c r="C105" s="1" t="s">
        <v>40</v>
      </c>
      <c r="D105" s="1" t="s">
        <v>76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3:18" x14ac:dyDescent="0.2">
      <c r="C106" s="1" t="s">
        <v>41</v>
      </c>
      <c r="D106" s="1" t="s">
        <v>76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3:18" x14ac:dyDescent="0.2">
      <c r="C107" s="1" t="s">
        <v>42</v>
      </c>
      <c r="D107" s="1" t="s">
        <v>76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3:18" x14ac:dyDescent="0.2">
      <c r="C108" s="1" t="s">
        <v>43</v>
      </c>
      <c r="D108" s="1" t="s">
        <v>76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3:18" x14ac:dyDescent="0.2">
      <c r="C109" s="1" t="s">
        <v>44</v>
      </c>
      <c r="D109" s="1" t="s">
        <v>76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3:18" x14ac:dyDescent="0.2">
      <c r="C110" s="1" t="s">
        <v>45</v>
      </c>
      <c r="D110" s="1" t="s">
        <v>76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3:18" x14ac:dyDescent="0.2">
      <c r="C111" s="1" t="s">
        <v>46</v>
      </c>
      <c r="D111" s="1" t="s">
        <v>76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3:18" x14ac:dyDescent="0.2">
      <c r="C112" s="1" t="s">
        <v>47</v>
      </c>
      <c r="D112" s="1" t="s">
        <v>76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3:18" x14ac:dyDescent="0.2">
      <c r="C113" s="1" t="s">
        <v>48</v>
      </c>
      <c r="D113" s="1" t="s">
        <v>76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3:18" x14ac:dyDescent="0.2">
      <c r="C114" s="1" t="s">
        <v>49</v>
      </c>
      <c r="D114" s="1" t="s">
        <v>76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3:18" x14ac:dyDescent="0.2">
      <c r="C115" s="1" t="s">
        <v>50</v>
      </c>
      <c r="D115" s="1" t="s">
        <v>76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3:18" x14ac:dyDescent="0.2">
      <c r="C116" s="1" t="s">
        <v>51</v>
      </c>
      <c r="D116" s="1" t="s">
        <v>76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3:18" x14ac:dyDescent="0.2">
      <c r="C117" s="1" t="s">
        <v>52</v>
      </c>
      <c r="D117" s="1" t="s">
        <v>76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3:18" x14ac:dyDescent="0.2">
      <c r="C118" s="1" t="s">
        <v>53</v>
      </c>
      <c r="D118" s="1" t="s">
        <v>76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3:18" x14ac:dyDescent="0.2">
      <c r="C119" s="1" t="s">
        <v>54</v>
      </c>
      <c r="D119" s="1" t="s">
        <v>76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3:18" x14ac:dyDescent="0.2">
      <c r="C120" s="1" t="s">
        <v>55</v>
      </c>
      <c r="D120" s="1" t="s">
        <v>76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3:18" x14ac:dyDescent="0.2">
      <c r="C121" s="1" t="s">
        <v>56</v>
      </c>
      <c r="D121" s="1" t="s">
        <v>76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66.764554813594401</v>
      </c>
      <c r="N121" s="1">
        <v>66.764554813594444</v>
      </c>
      <c r="O121" s="1">
        <v>0</v>
      </c>
      <c r="P121" s="1">
        <v>0</v>
      </c>
      <c r="Q121" s="1">
        <v>0</v>
      </c>
      <c r="R121" s="1">
        <v>0</v>
      </c>
    </row>
    <row r="122" spans="3:18" x14ac:dyDescent="0.2">
      <c r="C122" s="1" t="s">
        <v>59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3:18" x14ac:dyDescent="0.2">
      <c r="C123" s="1" t="s">
        <v>27</v>
      </c>
      <c r="D123" s="1"/>
      <c r="E123" s="1">
        <v>0.15389189189189201</v>
      </c>
      <c r="F123" s="1">
        <v>0</v>
      </c>
      <c r="G123" s="1">
        <v>9.6360840654525395E-2</v>
      </c>
      <c r="H123" s="1">
        <v>0</v>
      </c>
      <c r="I123" s="1">
        <v>0.23119939895953201</v>
      </c>
      <c r="J123" s="1">
        <v>0</v>
      </c>
      <c r="K123" s="1">
        <v>0</v>
      </c>
      <c r="L123" s="1">
        <v>0</v>
      </c>
      <c r="M123" s="1">
        <v>0</v>
      </c>
      <c r="N123" s="1">
        <v>0.15209884648702701</v>
      </c>
      <c r="O123" s="1">
        <v>5.2013540013131999E-2</v>
      </c>
      <c r="P123" s="1">
        <v>7.6889287766343295E-2</v>
      </c>
      <c r="Q123" s="1">
        <v>0.17923431623684</v>
      </c>
      <c r="R123" s="1">
        <v>0.18518177275999301</v>
      </c>
    </row>
    <row r="124" spans="3:18" x14ac:dyDescent="0.2">
      <c r="C124" s="1" t="s">
        <v>28</v>
      </c>
      <c r="D124" s="1"/>
      <c r="E124" s="1">
        <v>0.76918918918918899</v>
      </c>
      <c r="F124" s="1">
        <v>0</v>
      </c>
      <c r="G124" s="1">
        <v>0.90363915934547401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6.6038877267352497E-2</v>
      </c>
      <c r="N124" s="1">
        <v>2.2593967371973601E-2</v>
      </c>
      <c r="O124" s="1">
        <v>0.48776527117025897</v>
      </c>
      <c r="P124" s="1">
        <v>0.72104156509958495</v>
      </c>
      <c r="Q124" s="1">
        <v>2.6624884977931501E-2</v>
      </c>
      <c r="R124" s="1">
        <v>2.75083672773309E-2</v>
      </c>
    </row>
    <row r="125" spans="3:18" x14ac:dyDescent="0.2">
      <c r="C125" s="1" t="s">
        <v>29</v>
      </c>
      <c r="D125" s="1"/>
      <c r="E125" s="1">
        <v>7.6918918918918902E-2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0.108613539322999</v>
      </c>
      <c r="N125" s="1">
        <v>3.7160092133056197E-2</v>
      </c>
      <c r="O125" s="1">
        <v>0</v>
      </c>
      <c r="P125" s="1">
        <v>0</v>
      </c>
      <c r="Q125" s="1">
        <v>4.3789705567125303E-2</v>
      </c>
      <c r="R125" s="1">
        <v>4.5242760849675198E-2</v>
      </c>
    </row>
    <row r="126" spans="3:18" x14ac:dyDescent="0.2">
      <c r="C126" s="1" t="s">
        <v>30</v>
      </c>
      <c r="D126" s="1"/>
      <c r="E126" s="1">
        <v>0</v>
      </c>
      <c r="F126" s="1">
        <v>0.98907512104622697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3.1765984269838399E-2</v>
      </c>
      <c r="R126" s="1">
        <v>0</v>
      </c>
    </row>
    <row r="127" spans="3:18" x14ac:dyDescent="0.2">
      <c r="C127" s="1" t="s">
        <v>31</v>
      </c>
      <c r="D127" s="1"/>
      <c r="E127" s="1">
        <v>0</v>
      </c>
      <c r="F127" s="1">
        <v>0</v>
      </c>
      <c r="G127" s="1">
        <v>0</v>
      </c>
      <c r="H127" s="1">
        <v>0</v>
      </c>
      <c r="I127" s="1">
        <v>8.5328821342297398E-2</v>
      </c>
      <c r="J127" s="1">
        <v>1</v>
      </c>
      <c r="K127" s="1">
        <v>1</v>
      </c>
      <c r="L127" s="1">
        <v>0</v>
      </c>
      <c r="M127" s="1">
        <v>0</v>
      </c>
      <c r="N127" s="1">
        <v>5.6135160197941E-2</v>
      </c>
      <c r="O127" s="1">
        <v>0.32352683287697498</v>
      </c>
      <c r="P127" s="1">
        <v>0</v>
      </c>
      <c r="Q127" s="1">
        <v>2.8528917024216199E-2</v>
      </c>
      <c r="R127" s="1">
        <v>2.94755800138524E-2</v>
      </c>
    </row>
    <row r="128" spans="3:18" x14ac:dyDescent="0.2">
      <c r="C128" s="1" t="s">
        <v>32</v>
      </c>
      <c r="D128" s="1"/>
      <c r="E128" s="1">
        <v>0</v>
      </c>
      <c r="F128" s="1">
        <v>0</v>
      </c>
      <c r="G128" s="1">
        <v>0</v>
      </c>
      <c r="H128" s="1">
        <v>1</v>
      </c>
      <c r="I128" s="1">
        <v>0.68347177969816997</v>
      </c>
      <c r="J128" s="1">
        <v>0</v>
      </c>
      <c r="K128" s="1">
        <v>0</v>
      </c>
      <c r="L128" s="1">
        <v>0</v>
      </c>
      <c r="M128" s="1">
        <v>0</v>
      </c>
      <c r="N128" s="1">
        <v>0.44963468662270401</v>
      </c>
      <c r="O128" s="1">
        <v>0.136694355939634</v>
      </c>
      <c r="P128" s="1">
        <v>0.20206914713407201</v>
      </c>
      <c r="Q128" s="1">
        <v>0.13295926063661601</v>
      </c>
      <c r="R128" s="1">
        <v>0.137371191558047</v>
      </c>
    </row>
    <row r="129" spans="3:18" x14ac:dyDescent="0.2">
      <c r="C129" s="1" t="s">
        <v>33</v>
      </c>
      <c r="D129" s="1"/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0.39105219812908998</v>
      </c>
      <c r="R129" s="1">
        <v>0.40402831785597798</v>
      </c>
    </row>
    <row r="130" spans="3:18" x14ac:dyDescent="0.2">
      <c r="C130" s="1" t="s">
        <v>34</v>
      </c>
      <c r="D130" s="1"/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8.39285889813247E-2</v>
      </c>
      <c r="R130" s="1">
        <v>8.6713555858741298E-2</v>
      </c>
    </row>
    <row r="131" spans="3:18" x14ac:dyDescent="0.2">
      <c r="C131" s="1" t="s">
        <v>35</v>
      </c>
      <c r="D131" s="1"/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8.1765271401421494E-2</v>
      </c>
      <c r="R131" s="1">
        <v>8.4478453826382902E-2</v>
      </c>
    </row>
    <row r="132" spans="3:18" x14ac:dyDescent="0.2">
      <c r="C132" s="1" t="s">
        <v>36</v>
      </c>
      <c r="D132" s="1"/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0.12483564781246</v>
      </c>
      <c r="N132" s="1">
        <v>4.2710183307860097E-2</v>
      </c>
      <c r="O132" s="1">
        <v>0</v>
      </c>
      <c r="P132" s="1">
        <v>0</v>
      </c>
      <c r="Q132" s="1">
        <v>0</v>
      </c>
      <c r="R132" s="1">
        <v>0</v>
      </c>
    </row>
    <row r="133" spans="3:18" x14ac:dyDescent="0.2">
      <c r="C133" s="1" t="s">
        <v>37</v>
      </c>
      <c r="D133" s="1"/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0.119469875743662</v>
      </c>
      <c r="N133" s="1">
        <v>4.0874384698549197E-2</v>
      </c>
      <c r="O133" s="1">
        <v>0</v>
      </c>
      <c r="P133" s="1">
        <v>0</v>
      </c>
      <c r="Q133" s="1">
        <v>0</v>
      </c>
      <c r="R133" s="1">
        <v>0</v>
      </c>
    </row>
    <row r="134" spans="3:18" x14ac:dyDescent="0.2">
      <c r="C134" s="1" t="s">
        <v>38</v>
      </c>
      <c r="D134" s="1"/>
      <c r="E134" s="1">
        <v>0</v>
      </c>
      <c r="F134" s="1">
        <v>1.0924878953773099E-2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3.5087277559701799E-4</v>
      </c>
      <c r="R134" s="1">
        <v>0</v>
      </c>
    </row>
    <row r="135" spans="3:18" x14ac:dyDescent="0.2">
      <c r="C135" s="1" t="s">
        <v>39</v>
      </c>
      <c r="D135" s="1"/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3:18" x14ac:dyDescent="0.2">
      <c r="C136" s="1" t="s">
        <v>40</v>
      </c>
      <c r="D136" s="1"/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3:18" x14ac:dyDescent="0.2">
      <c r="C137" s="1" t="s">
        <v>41</v>
      </c>
      <c r="D137" s="1"/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3:18" x14ac:dyDescent="0.2">
      <c r="C138" s="1" t="s">
        <v>42</v>
      </c>
      <c r="D138" s="1"/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3:18" x14ac:dyDescent="0.2">
      <c r="C139" s="1" t="s">
        <v>43</v>
      </c>
      <c r="D139" s="1"/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3:18" x14ac:dyDescent="0.2">
      <c r="C140" s="1" t="s">
        <v>44</v>
      </c>
      <c r="D140" s="1"/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3:18" x14ac:dyDescent="0.2">
      <c r="C141" s="1" t="s">
        <v>45</v>
      </c>
      <c r="D141" s="1"/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3:18" x14ac:dyDescent="0.2">
      <c r="C142" s="1" t="s">
        <v>46</v>
      </c>
      <c r="D142" s="1"/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3:18" x14ac:dyDescent="0.2">
      <c r="C143" s="1" t="s">
        <v>47</v>
      </c>
      <c r="D143" s="1"/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3:18" x14ac:dyDescent="0.2">
      <c r="C144" s="1" t="s">
        <v>48</v>
      </c>
      <c r="D144" s="1"/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3:18" x14ac:dyDescent="0.2">
      <c r="C145" s="1" t="s">
        <v>49</v>
      </c>
      <c r="D145" s="1"/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3:18" x14ac:dyDescent="0.2">
      <c r="C146" s="1" t="s">
        <v>50</v>
      </c>
      <c r="D146" s="1"/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3:18" x14ac:dyDescent="0.2">
      <c r="C147" s="1" t="s">
        <v>51</v>
      </c>
      <c r="D147" s="1"/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3:18" x14ac:dyDescent="0.2">
      <c r="C148" s="1" t="s">
        <v>52</v>
      </c>
      <c r="D148" s="1"/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3:18" x14ac:dyDescent="0.2">
      <c r="C149" s="1" t="s">
        <v>53</v>
      </c>
      <c r="D149" s="1"/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3:18" x14ac:dyDescent="0.2">
      <c r="C150" s="1" t="s">
        <v>54</v>
      </c>
      <c r="D150" s="1"/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3:18" x14ac:dyDescent="0.2">
      <c r="C151" s="1" t="s">
        <v>55</v>
      </c>
      <c r="D151" s="1"/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3:18" x14ac:dyDescent="0.2">
      <c r="C152" s="1" t="s">
        <v>56</v>
      </c>
      <c r="D152" s="1"/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0.58104205985352597</v>
      </c>
      <c r="N152" s="1">
        <v>0.198792679180889</v>
      </c>
      <c r="O152" s="1">
        <v>0</v>
      </c>
      <c r="P152" s="1">
        <v>0</v>
      </c>
      <c r="Q152" s="1">
        <v>0</v>
      </c>
      <c r="R152" s="1">
        <v>0</v>
      </c>
    </row>
    <row r="153" spans="3:18" x14ac:dyDescent="0.2">
      <c r="C153" s="1" t="s">
        <v>60</v>
      </c>
      <c r="D153" s="1" t="s">
        <v>77</v>
      </c>
      <c r="E153" s="1">
        <v>1.8886269266325801</v>
      </c>
      <c r="F153" s="1">
        <v>138.41262355005389</v>
      </c>
      <c r="G153" s="1">
        <v>1.1362007107655496</v>
      </c>
      <c r="H153" s="1">
        <v>0.13737453099323671</v>
      </c>
      <c r="I153" s="1">
        <v>2.0534447199766159</v>
      </c>
      <c r="J153" s="1">
        <v>0.81784357103620031</v>
      </c>
      <c r="K153" s="1">
        <v>0.68647764312683257</v>
      </c>
      <c r="L153" s="1">
        <v>0.34672159285959531</v>
      </c>
      <c r="M153" s="1">
        <v>0.72915699496663655</v>
      </c>
      <c r="N153" s="1">
        <v>2.8563480472224181</v>
      </c>
      <c r="O153" s="1">
        <v>2.6849567572249864</v>
      </c>
      <c r="P153" s="1">
        <v>1.867113186188786</v>
      </c>
      <c r="Q153" s="1">
        <v>181.21275840613222</v>
      </c>
      <c r="R153" s="1">
        <v>5.9295053808642662</v>
      </c>
    </row>
    <row r="154" spans="3:18" x14ac:dyDescent="0.2">
      <c r="C154" s="1" t="s">
        <v>61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3:18" x14ac:dyDescent="0.2">
      <c r="C155" s="1" t="s">
        <v>18</v>
      </c>
      <c r="D155" s="1" t="s">
        <v>68</v>
      </c>
      <c r="E155" s="1"/>
      <c r="F155" s="1">
        <v>387.35735339518925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>
        <v>-11608.179412503412</v>
      </c>
      <c r="R155" s="1"/>
    </row>
    <row r="156" spans="3:18" x14ac:dyDescent="0.2">
      <c r="C156" s="1" t="s">
        <v>19</v>
      </c>
      <c r="D156" s="1" t="s">
        <v>69</v>
      </c>
      <c r="E156" s="1"/>
      <c r="F156" s="1">
        <v>12.105371245021352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>
        <v>-397.71352728582923</v>
      </c>
      <c r="R156" s="1"/>
    </row>
    <row r="157" spans="3:18" x14ac:dyDescent="0.2">
      <c r="C157" s="1" t="s">
        <v>20</v>
      </c>
      <c r="D157" s="1" t="s">
        <v>70</v>
      </c>
      <c r="E157" s="1"/>
      <c r="F157" s="1">
        <v>1.2191924819495989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>
        <v>-1.885108044402279E-2</v>
      </c>
      <c r="R157" s="1"/>
    </row>
    <row r="158" spans="3:18" x14ac:dyDescent="0.2">
      <c r="C158" s="1" t="s">
        <v>21</v>
      </c>
      <c r="D158" s="1" t="s">
        <v>71</v>
      </c>
      <c r="E158" s="1"/>
      <c r="F158" s="1">
        <v>3.8101193855694562E-2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>
        <v>-6.4586611130990003E-4</v>
      </c>
      <c r="R158" s="1"/>
    </row>
    <row r="159" spans="3:18" x14ac:dyDescent="0.2">
      <c r="C159" s="1" t="s">
        <v>22</v>
      </c>
      <c r="D159" s="1" t="s">
        <v>72</v>
      </c>
      <c r="E159" s="1"/>
      <c r="F159" s="1">
        <v>3.4068506010568834E-5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>
        <v>3.410389382416269E-5</v>
      </c>
      <c r="R159" s="1"/>
    </row>
    <row r="160" spans="3:18" x14ac:dyDescent="0.2">
      <c r="C160" s="1" t="s">
        <v>23</v>
      </c>
      <c r="D160" s="1" t="s">
        <v>73</v>
      </c>
      <c r="E160" s="1"/>
      <c r="F160" s="1">
        <v>1.09015131013099E-3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>
        <v>9.9540018383969392E-4</v>
      </c>
      <c r="R160" s="1"/>
    </row>
    <row r="161" spans="3:18" x14ac:dyDescent="0.2">
      <c r="C161" s="1" t="s">
        <v>24</v>
      </c>
      <c r="D161" s="1" t="s">
        <v>74</v>
      </c>
      <c r="E161" s="1"/>
      <c r="F161" s="1">
        <v>30.443056674531839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>
        <v>-1157.4443190577281</v>
      </c>
      <c r="R161" s="1"/>
    </row>
    <row r="162" spans="3:18" x14ac:dyDescent="0.2">
      <c r="C162" s="1" t="s">
        <v>25</v>
      </c>
      <c r="D162" s="1"/>
      <c r="E162" s="1"/>
      <c r="F162" s="1">
        <v>31.998799999999999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>
        <v>29.1872883774477</v>
      </c>
      <c r="R162" s="1"/>
    </row>
    <row r="163" spans="3:18" x14ac:dyDescent="0.2">
      <c r="C163" s="1" t="s">
        <v>26</v>
      </c>
      <c r="D163" s="1" t="s">
        <v>75</v>
      </c>
      <c r="E163" s="1"/>
      <c r="F163" s="1">
        <v>0.28292996910401658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>
        <v>0.35895375153485903</v>
      </c>
      <c r="R163" s="1"/>
    </row>
    <row r="164" spans="3:18" x14ac:dyDescent="0.2">
      <c r="C164" s="1" t="s">
        <v>27</v>
      </c>
      <c r="D164" s="1" t="s">
        <v>75</v>
      </c>
      <c r="E164" s="1"/>
      <c r="F164" s="1"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>
        <v>7.2659286356263147E-2</v>
      </c>
      <c r="R164" s="1"/>
    </row>
    <row r="165" spans="3:18" x14ac:dyDescent="0.2">
      <c r="C165" s="1" t="s">
        <v>28</v>
      </c>
      <c r="D165" s="1" t="s">
        <v>75</v>
      </c>
      <c r="E165" s="1"/>
      <c r="F165" s="1"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>
        <v>3.8945099516500306E-15</v>
      </c>
      <c r="R165" s="1"/>
    </row>
    <row r="166" spans="3:18" x14ac:dyDescent="0.2">
      <c r="C166" s="1" t="s">
        <v>29</v>
      </c>
      <c r="D166" s="1" t="s">
        <v>75</v>
      </c>
      <c r="E166" s="1"/>
      <c r="F166" s="1"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>
        <v>3.3880685106558775E-3</v>
      </c>
      <c r="R166" s="1"/>
    </row>
    <row r="167" spans="3:18" x14ac:dyDescent="0.2">
      <c r="C167" s="1" t="s">
        <v>30</v>
      </c>
      <c r="D167" s="1" t="s">
        <v>75</v>
      </c>
      <c r="E167" s="1"/>
      <c r="F167" s="1">
        <v>0.28292996910401658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>
        <v>0.2829063966679361</v>
      </c>
      <c r="R167" s="1"/>
    </row>
    <row r="168" spans="3:18" x14ac:dyDescent="0.2">
      <c r="C168" s="1" t="s">
        <v>31</v>
      </c>
      <c r="D168" s="1" t="s">
        <v>75</v>
      </c>
      <c r="E168" s="1"/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>
        <v>0</v>
      </c>
      <c r="R168" s="1"/>
    </row>
    <row r="169" spans="3:18" x14ac:dyDescent="0.2">
      <c r="C169" s="1" t="s">
        <v>32</v>
      </c>
      <c r="D169" s="1" t="s">
        <v>75</v>
      </c>
      <c r="E169" s="1"/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>
        <v>3.5571256671982605E-96</v>
      </c>
      <c r="R169" s="1"/>
    </row>
    <row r="170" spans="3:18" x14ac:dyDescent="0.2">
      <c r="C170" s="1" t="s">
        <v>33</v>
      </c>
      <c r="D170" s="1" t="s">
        <v>75</v>
      </c>
      <c r="E170" s="1"/>
      <c r="F170" s="1"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>
        <v>2.3456982406686915E-80</v>
      </c>
      <c r="R170" s="1"/>
    </row>
    <row r="171" spans="3:18" x14ac:dyDescent="0.2">
      <c r="C171" s="1" t="s">
        <v>34</v>
      </c>
      <c r="D171" s="1" t="s">
        <v>75</v>
      </c>
      <c r="E171" s="1"/>
      <c r="F171" s="1"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>
        <v>3.230357954220344E-111</v>
      </c>
      <c r="R171" s="1"/>
    </row>
    <row r="172" spans="3:18" x14ac:dyDescent="0.2">
      <c r="C172" s="1" t="s">
        <v>35</v>
      </c>
      <c r="D172" s="1" t="s">
        <v>75</v>
      </c>
      <c r="E172" s="1"/>
      <c r="F172" s="1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>
        <v>3.230357954220344E-111</v>
      </c>
      <c r="R172" s="1"/>
    </row>
    <row r="173" spans="3:18" x14ac:dyDescent="0.2">
      <c r="C173" s="1" t="s">
        <v>36</v>
      </c>
      <c r="D173" s="1" t="s">
        <v>75</v>
      </c>
      <c r="E173" s="1"/>
      <c r="F173" s="1"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>
        <v>0</v>
      </c>
      <c r="R173" s="1"/>
    </row>
    <row r="174" spans="3:18" x14ac:dyDescent="0.2">
      <c r="C174" s="1" t="s">
        <v>37</v>
      </c>
      <c r="D174" s="1" t="s">
        <v>75</v>
      </c>
      <c r="E174" s="1"/>
      <c r="F174" s="1"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>
        <v>0</v>
      </c>
      <c r="R174" s="1"/>
    </row>
    <row r="175" spans="3:18" x14ac:dyDescent="0.2">
      <c r="C175" s="1" t="s">
        <v>38</v>
      </c>
      <c r="D175" s="1" t="s">
        <v>75</v>
      </c>
      <c r="E175" s="1"/>
      <c r="F175" s="1"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>
        <v>0</v>
      </c>
      <c r="R175" s="1"/>
    </row>
    <row r="176" spans="3:18" x14ac:dyDescent="0.2">
      <c r="C176" s="1" t="s">
        <v>39</v>
      </c>
      <c r="D176" s="1" t="s">
        <v>75</v>
      </c>
      <c r="E176" s="1"/>
      <c r="F176" s="1"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>
        <v>0</v>
      </c>
      <c r="R176" s="1"/>
    </row>
    <row r="177" spans="3:18" x14ac:dyDescent="0.2">
      <c r="C177" s="1" t="s">
        <v>40</v>
      </c>
      <c r="D177" s="1" t="s">
        <v>75</v>
      </c>
      <c r="E177" s="1"/>
      <c r="F177" s="1"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>
        <v>0</v>
      </c>
      <c r="R177" s="1"/>
    </row>
    <row r="178" spans="3:18" x14ac:dyDescent="0.2">
      <c r="C178" s="1" t="s">
        <v>41</v>
      </c>
      <c r="D178" s="1" t="s">
        <v>75</v>
      </c>
      <c r="E178" s="1"/>
      <c r="F178" s="1"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>
        <v>0</v>
      </c>
      <c r="R178" s="1"/>
    </row>
    <row r="179" spans="3:18" x14ac:dyDescent="0.2">
      <c r="C179" s="1" t="s">
        <v>42</v>
      </c>
      <c r="D179" s="1" t="s">
        <v>75</v>
      </c>
      <c r="E179" s="1"/>
      <c r="F179" s="1"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>
        <v>0</v>
      </c>
      <c r="R179" s="1"/>
    </row>
    <row r="180" spans="3:18" x14ac:dyDescent="0.2">
      <c r="C180" s="1" t="s">
        <v>43</v>
      </c>
      <c r="D180" s="1" t="s">
        <v>75</v>
      </c>
      <c r="E180" s="1"/>
      <c r="F180" s="1"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>
        <v>0</v>
      </c>
      <c r="R180" s="1"/>
    </row>
    <row r="181" spans="3:18" x14ac:dyDescent="0.2">
      <c r="C181" s="1" t="s">
        <v>44</v>
      </c>
      <c r="D181" s="1" t="s">
        <v>75</v>
      </c>
      <c r="E181" s="1"/>
      <c r="F181" s="1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>
        <v>0</v>
      </c>
      <c r="R181" s="1"/>
    </row>
    <row r="182" spans="3:18" x14ac:dyDescent="0.2">
      <c r="C182" s="1" t="s">
        <v>45</v>
      </c>
      <c r="D182" s="1" t="s">
        <v>75</v>
      </c>
      <c r="E182" s="1"/>
      <c r="F182" s="1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>
        <v>0</v>
      </c>
      <c r="R182" s="1"/>
    </row>
    <row r="183" spans="3:18" x14ac:dyDescent="0.2">
      <c r="C183" s="1" t="s">
        <v>46</v>
      </c>
      <c r="D183" s="1" t="s">
        <v>75</v>
      </c>
      <c r="E183" s="1"/>
      <c r="F183" s="1"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>
        <v>0</v>
      </c>
      <c r="R183" s="1"/>
    </row>
    <row r="184" spans="3:18" x14ac:dyDescent="0.2">
      <c r="C184" s="1" t="s">
        <v>47</v>
      </c>
      <c r="D184" s="1" t="s">
        <v>75</v>
      </c>
      <c r="E184" s="1"/>
      <c r="F184" s="1">
        <v>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>
        <v>0</v>
      </c>
      <c r="R184" s="1"/>
    </row>
    <row r="185" spans="3:18" x14ac:dyDescent="0.2">
      <c r="C185" s="1" t="s">
        <v>48</v>
      </c>
      <c r="D185" s="1" t="s">
        <v>75</v>
      </c>
      <c r="E185" s="1"/>
      <c r="F185" s="1">
        <v>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>
        <v>0</v>
      </c>
      <c r="R185" s="1"/>
    </row>
    <row r="186" spans="3:18" x14ac:dyDescent="0.2">
      <c r="C186" s="1" t="s">
        <v>49</v>
      </c>
      <c r="D186" s="1" t="s">
        <v>75</v>
      </c>
      <c r="E186" s="1"/>
      <c r="F186" s="1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>
        <v>0</v>
      </c>
      <c r="R186" s="1"/>
    </row>
    <row r="187" spans="3:18" x14ac:dyDescent="0.2">
      <c r="C187" s="1" t="s">
        <v>50</v>
      </c>
      <c r="D187" s="1" t="s">
        <v>75</v>
      </c>
      <c r="E187" s="1"/>
      <c r="F187" s="1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>
        <v>0</v>
      </c>
      <c r="R187" s="1"/>
    </row>
    <row r="188" spans="3:18" x14ac:dyDescent="0.2">
      <c r="C188" s="1" t="s">
        <v>51</v>
      </c>
      <c r="D188" s="1" t="s">
        <v>75</v>
      </c>
      <c r="E188" s="1"/>
      <c r="F188" s="1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>
        <v>0</v>
      </c>
      <c r="R188" s="1"/>
    </row>
    <row r="189" spans="3:18" x14ac:dyDescent="0.2">
      <c r="C189" s="1" t="s">
        <v>52</v>
      </c>
      <c r="D189" s="1" t="s">
        <v>75</v>
      </c>
      <c r="E189" s="1"/>
      <c r="F189" s="1"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>
        <v>0</v>
      </c>
      <c r="R189" s="1"/>
    </row>
    <row r="190" spans="3:18" x14ac:dyDescent="0.2">
      <c r="C190" s="1" t="s">
        <v>53</v>
      </c>
      <c r="D190" s="1" t="s">
        <v>75</v>
      </c>
      <c r="E190" s="1"/>
      <c r="F190" s="1"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>
        <v>0</v>
      </c>
      <c r="R190" s="1"/>
    </row>
    <row r="191" spans="3:18" x14ac:dyDescent="0.2">
      <c r="C191" s="1" t="s">
        <v>54</v>
      </c>
      <c r="D191" s="1" t="s">
        <v>75</v>
      </c>
      <c r="E191" s="1"/>
      <c r="F191" s="1"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>
        <v>0</v>
      </c>
      <c r="R191" s="1"/>
    </row>
    <row r="192" spans="3:18" x14ac:dyDescent="0.2">
      <c r="C192" s="1" t="s">
        <v>55</v>
      </c>
      <c r="D192" s="1" t="s">
        <v>75</v>
      </c>
      <c r="E192" s="1"/>
      <c r="F192" s="1"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>
        <v>0</v>
      </c>
      <c r="R192" s="1"/>
    </row>
    <row r="193" spans="3:18" x14ac:dyDescent="0.2">
      <c r="C193" s="1" t="s">
        <v>56</v>
      </c>
      <c r="D193" s="1" t="s">
        <v>75</v>
      </c>
      <c r="E193" s="1"/>
      <c r="F193" s="1"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>
        <v>0</v>
      </c>
      <c r="R193" s="1"/>
    </row>
    <row r="194" spans="3:18" x14ac:dyDescent="0.2">
      <c r="C194" s="1" t="s">
        <v>57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3:18" x14ac:dyDescent="0.2">
      <c r="C195" s="1" t="s">
        <v>27</v>
      </c>
      <c r="D195" s="1"/>
      <c r="E195" s="1"/>
      <c r="F195" s="1"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>
        <v>0.20241963218263501</v>
      </c>
      <c r="R195" s="1"/>
    </row>
    <row r="196" spans="3:18" x14ac:dyDescent="0.2">
      <c r="C196" s="1" t="s">
        <v>28</v>
      </c>
      <c r="D196" s="1"/>
      <c r="E196" s="1"/>
      <c r="F196" s="1"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>
        <v>1.08496148459165E-14</v>
      </c>
      <c r="R196" s="1"/>
    </row>
    <row r="197" spans="3:18" x14ac:dyDescent="0.2">
      <c r="C197" s="1" t="s">
        <v>29</v>
      </c>
      <c r="D197" s="1"/>
      <c r="E197" s="1"/>
      <c r="F197" s="1">
        <v>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>
        <v>9.4387326951417896E-3</v>
      </c>
      <c r="R197" s="1"/>
    </row>
    <row r="198" spans="3:18" x14ac:dyDescent="0.2">
      <c r="C198" s="1" t="s">
        <v>30</v>
      </c>
      <c r="D198" s="1"/>
      <c r="E198" s="1"/>
      <c r="F198" s="1">
        <v>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>
        <v>0.78814163512221203</v>
      </c>
      <c r="R198" s="1"/>
    </row>
    <row r="199" spans="3:18" x14ac:dyDescent="0.2">
      <c r="C199" s="1" t="s">
        <v>31</v>
      </c>
      <c r="D199" s="1"/>
      <c r="E199" s="1"/>
      <c r="F199" s="1"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>
        <v>0</v>
      </c>
      <c r="R199" s="1"/>
    </row>
    <row r="200" spans="3:18" x14ac:dyDescent="0.2">
      <c r="C200" s="1" t="s">
        <v>32</v>
      </c>
      <c r="D200" s="1"/>
      <c r="E200" s="1"/>
      <c r="F200" s="1"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>
        <v>9.9097046680477895E-96</v>
      </c>
      <c r="R200" s="1"/>
    </row>
    <row r="201" spans="3:18" x14ac:dyDescent="0.2">
      <c r="C201" s="1" t="s">
        <v>33</v>
      </c>
      <c r="D201" s="1"/>
      <c r="E201" s="1"/>
      <c r="F201" s="1"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>
        <v>6.5348202397625398E-80</v>
      </c>
      <c r="R201" s="1"/>
    </row>
    <row r="202" spans="3:18" x14ac:dyDescent="0.2">
      <c r="C202" s="1" t="s">
        <v>34</v>
      </c>
      <c r="D202" s="1"/>
      <c r="E202" s="1"/>
      <c r="F202" s="1"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>
        <v>8.9993709228767698E-111</v>
      </c>
      <c r="R202" s="1"/>
    </row>
    <row r="203" spans="3:18" x14ac:dyDescent="0.2">
      <c r="C203" s="1" t="s">
        <v>35</v>
      </c>
      <c r="D203" s="1"/>
      <c r="E203" s="1"/>
      <c r="F203" s="1"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>
        <v>8.9993709228767698E-111</v>
      </c>
      <c r="R203" s="1"/>
    </row>
    <row r="204" spans="3:18" x14ac:dyDescent="0.2">
      <c r="C204" s="1" t="s">
        <v>36</v>
      </c>
      <c r="D204" s="1"/>
      <c r="E204" s="1"/>
      <c r="F204" s="1"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>
        <v>0</v>
      </c>
      <c r="R204" s="1"/>
    </row>
    <row r="205" spans="3:18" x14ac:dyDescent="0.2">
      <c r="C205" s="1" t="s">
        <v>37</v>
      </c>
      <c r="D205" s="1"/>
      <c r="E205" s="1"/>
      <c r="F205" s="1"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>
        <v>0</v>
      </c>
      <c r="R205" s="1"/>
    </row>
    <row r="206" spans="3:18" x14ac:dyDescent="0.2">
      <c r="C206" s="1" t="s">
        <v>38</v>
      </c>
      <c r="D206" s="1"/>
      <c r="E206" s="1"/>
      <c r="F206" s="1">
        <v>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>
        <v>0</v>
      </c>
      <c r="R206" s="1"/>
    </row>
    <row r="207" spans="3:18" x14ac:dyDescent="0.2">
      <c r="C207" s="1" t="s">
        <v>39</v>
      </c>
      <c r="D207" s="1"/>
      <c r="E207" s="1"/>
      <c r="F207" s="1"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>
        <v>0</v>
      </c>
      <c r="R207" s="1"/>
    </row>
    <row r="208" spans="3:18" x14ac:dyDescent="0.2">
      <c r="C208" s="1" t="s">
        <v>40</v>
      </c>
      <c r="D208" s="1"/>
      <c r="E208" s="1"/>
      <c r="F208" s="1"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>
        <v>0</v>
      </c>
      <c r="R208" s="1"/>
    </row>
    <row r="209" spans="3:18" x14ac:dyDescent="0.2">
      <c r="C209" s="1" t="s">
        <v>41</v>
      </c>
      <c r="D209" s="1"/>
      <c r="E209" s="1"/>
      <c r="F209" s="1"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>
        <v>0</v>
      </c>
      <c r="R209" s="1"/>
    </row>
    <row r="210" spans="3:18" x14ac:dyDescent="0.2">
      <c r="C210" s="1" t="s">
        <v>42</v>
      </c>
      <c r="D210" s="1"/>
      <c r="E210" s="1"/>
      <c r="F210" s="1"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>
        <v>0</v>
      </c>
      <c r="R210" s="1"/>
    </row>
    <row r="211" spans="3:18" x14ac:dyDescent="0.2">
      <c r="C211" s="1" t="s">
        <v>43</v>
      </c>
      <c r="D211" s="1"/>
      <c r="E211" s="1"/>
      <c r="F211" s="1"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>
        <v>0</v>
      </c>
      <c r="R211" s="1"/>
    </row>
    <row r="212" spans="3:18" x14ac:dyDescent="0.2">
      <c r="C212" s="1" t="s">
        <v>44</v>
      </c>
      <c r="D212" s="1"/>
      <c r="E212" s="1"/>
      <c r="F212" s="1"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>
        <v>0</v>
      </c>
      <c r="R212" s="1"/>
    </row>
    <row r="213" spans="3:18" x14ac:dyDescent="0.2">
      <c r="C213" s="1" t="s">
        <v>45</v>
      </c>
      <c r="D213" s="1"/>
      <c r="E213" s="1"/>
      <c r="F213" s="1"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>
        <v>0</v>
      </c>
      <c r="R213" s="1"/>
    </row>
    <row r="214" spans="3:18" x14ac:dyDescent="0.2">
      <c r="C214" s="1" t="s">
        <v>46</v>
      </c>
      <c r="D214" s="1"/>
      <c r="E214" s="1"/>
      <c r="F214" s="1"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>
        <v>0</v>
      </c>
      <c r="R214" s="1"/>
    </row>
    <row r="215" spans="3:18" x14ac:dyDescent="0.2">
      <c r="C215" s="1" t="s">
        <v>47</v>
      </c>
      <c r="D215" s="1"/>
      <c r="E215" s="1"/>
      <c r="F215" s="1"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>
        <v>0</v>
      </c>
      <c r="R215" s="1"/>
    </row>
    <row r="216" spans="3:18" x14ac:dyDescent="0.2">
      <c r="C216" s="1" t="s">
        <v>48</v>
      </c>
      <c r="D216" s="1"/>
      <c r="E216" s="1"/>
      <c r="F216" s="1"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>
        <v>0</v>
      </c>
      <c r="R216" s="1"/>
    </row>
    <row r="217" spans="3:18" x14ac:dyDescent="0.2">
      <c r="C217" s="1" t="s">
        <v>49</v>
      </c>
      <c r="D217" s="1"/>
      <c r="E217" s="1"/>
      <c r="F217" s="1"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>
        <v>0</v>
      </c>
      <c r="R217" s="1"/>
    </row>
    <row r="218" spans="3:18" x14ac:dyDescent="0.2">
      <c r="C218" s="1" t="s">
        <v>50</v>
      </c>
      <c r="D218" s="1"/>
      <c r="E218" s="1"/>
      <c r="F218" s="1"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>
        <v>0</v>
      </c>
      <c r="R218" s="1"/>
    </row>
    <row r="219" spans="3:18" x14ac:dyDescent="0.2">
      <c r="C219" s="1" t="s">
        <v>51</v>
      </c>
      <c r="D219" s="1"/>
      <c r="E219" s="1"/>
      <c r="F219" s="1"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>
        <v>0</v>
      </c>
      <c r="R219" s="1"/>
    </row>
    <row r="220" spans="3:18" x14ac:dyDescent="0.2">
      <c r="C220" s="1" t="s">
        <v>52</v>
      </c>
      <c r="D220" s="1"/>
      <c r="E220" s="1"/>
      <c r="F220" s="1"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>
        <v>0</v>
      </c>
      <c r="R220" s="1"/>
    </row>
    <row r="221" spans="3:18" x14ac:dyDescent="0.2">
      <c r="C221" s="1" t="s">
        <v>53</v>
      </c>
      <c r="D221" s="1"/>
      <c r="E221" s="1"/>
      <c r="F221" s="1"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>
        <v>0</v>
      </c>
      <c r="R221" s="1"/>
    </row>
    <row r="222" spans="3:18" x14ac:dyDescent="0.2">
      <c r="C222" s="1" t="s">
        <v>54</v>
      </c>
      <c r="D222" s="1"/>
      <c r="E222" s="1"/>
      <c r="F222" s="1"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>
        <v>0</v>
      </c>
      <c r="R222" s="1"/>
    </row>
    <row r="223" spans="3:18" x14ac:dyDescent="0.2">
      <c r="C223" s="1" t="s">
        <v>55</v>
      </c>
      <c r="D223" s="1"/>
      <c r="E223" s="1"/>
      <c r="F223" s="1"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>
        <v>0</v>
      </c>
      <c r="R223" s="1"/>
    </row>
    <row r="224" spans="3:18" x14ac:dyDescent="0.2">
      <c r="C224" s="1" t="s">
        <v>56</v>
      </c>
      <c r="D224" s="1"/>
      <c r="E224" s="1"/>
      <c r="F224" s="1"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>
        <v>0</v>
      </c>
      <c r="R224" s="1"/>
    </row>
    <row r="225" spans="3:18" x14ac:dyDescent="0.2">
      <c r="C225" s="1" t="s">
        <v>58</v>
      </c>
      <c r="D225" s="1" t="s">
        <v>76</v>
      </c>
      <c r="E225" s="1"/>
      <c r="F225" s="1">
        <v>9.0534194953656062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>
        <v>10.476886660214639</v>
      </c>
      <c r="R225" s="1"/>
    </row>
    <row r="226" spans="3:18" x14ac:dyDescent="0.2">
      <c r="C226" s="1" t="s">
        <v>27</v>
      </c>
      <c r="D226" s="1" t="s">
        <v>76</v>
      </c>
      <c r="E226" s="1"/>
      <c r="F226" s="1"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>
        <v>1.3089773883082596</v>
      </c>
      <c r="R226" s="1"/>
    </row>
    <row r="227" spans="3:18" x14ac:dyDescent="0.2">
      <c r="C227" s="1" t="s">
        <v>28</v>
      </c>
      <c r="D227" s="1" t="s">
        <v>76</v>
      </c>
      <c r="E227" s="1"/>
      <c r="F227" s="1"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>
        <v>3.8197151091265883E-13</v>
      </c>
      <c r="R227" s="1"/>
    </row>
    <row r="228" spans="3:18" x14ac:dyDescent="0.2">
      <c r="C228" s="1" t="s">
        <v>29</v>
      </c>
      <c r="D228" s="1" t="s">
        <v>76</v>
      </c>
      <c r="E228" s="1"/>
      <c r="F228" s="1"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>
        <v>0.11524406620803629</v>
      </c>
      <c r="R228" s="1"/>
    </row>
    <row r="229" spans="3:18" x14ac:dyDescent="0.2">
      <c r="C229" s="1" t="s">
        <v>30</v>
      </c>
      <c r="D229" s="1" t="s">
        <v>76</v>
      </c>
      <c r="E229" s="1"/>
      <c r="F229" s="1">
        <v>9.0534194953656062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>
        <v>9.0526652056979611</v>
      </c>
      <c r="R229" s="1"/>
    </row>
    <row r="230" spans="3:18" x14ac:dyDescent="0.2">
      <c r="C230" s="1" t="s">
        <v>31</v>
      </c>
      <c r="D230" s="1" t="s">
        <v>76</v>
      </c>
      <c r="E230" s="1"/>
      <c r="F230" s="1"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>
        <v>0</v>
      </c>
      <c r="R230" s="1"/>
    </row>
    <row r="231" spans="3:18" x14ac:dyDescent="0.2">
      <c r="C231" s="1" t="s">
        <v>32</v>
      </c>
      <c r="D231" s="1" t="s">
        <v>76</v>
      </c>
      <c r="E231" s="1"/>
      <c r="F231" s="1">
        <v>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>
        <v>3.9109031575551328E-94</v>
      </c>
      <c r="R231" s="1"/>
    </row>
    <row r="232" spans="3:18" x14ac:dyDescent="0.2">
      <c r="C232" s="1" t="s">
        <v>33</v>
      </c>
      <c r="D232" s="1" t="s">
        <v>76</v>
      </c>
      <c r="E232" s="1"/>
      <c r="F232" s="1"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>
        <v>3.6300524725714702E-78</v>
      </c>
      <c r="R232" s="1"/>
    </row>
    <row r="233" spans="3:18" x14ac:dyDescent="0.2">
      <c r="C233" s="1" t="s">
        <v>34</v>
      </c>
      <c r="D233" s="1" t="s">
        <v>76</v>
      </c>
      <c r="E233" s="1"/>
      <c r="F233" s="1">
        <v>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>
        <v>5.0069514575869957E-109</v>
      </c>
      <c r="R233" s="1"/>
    </row>
    <row r="234" spans="3:18" x14ac:dyDescent="0.2">
      <c r="C234" s="1" t="s">
        <v>35</v>
      </c>
      <c r="D234" s="1" t="s">
        <v>76</v>
      </c>
      <c r="E234" s="1"/>
      <c r="F234" s="1"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>
        <v>4.8778938117789682E-109</v>
      </c>
      <c r="R234" s="1"/>
    </row>
    <row r="235" spans="3:18" x14ac:dyDescent="0.2">
      <c r="C235" s="1" t="s">
        <v>36</v>
      </c>
      <c r="D235" s="1" t="s">
        <v>76</v>
      </c>
      <c r="E235" s="1"/>
      <c r="F235" s="1"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>
        <v>0</v>
      </c>
      <c r="R235" s="1"/>
    </row>
    <row r="236" spans="3:18" x14ac:dyDescent="0.2">
      <c r="C236" s="1" t="s">
        <v>37</v>
      </c>
      <c r="D236" s="1" t="s">
        <v>76</v>
      </c>
      <c r="E236" s="1"/>
      <c r="F236" s="1"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>
        <v>0</v>
      </c>
      <c r="R236" s="1"/>
    </row>
    <row r="237" spans="3:18" x14ac:dyDescent="0.2">
      <c r="C237" s="1" t="s">
        <v>38</v>
      </c>
      <c r="D237" s="1" t="s">
        <v>76</v>
      </c>
      <c r="E237" s="1"/>
      <c r="F237" s="1"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>
        <v>0</v>
      </c>
      <c r="R237" s="1"/>
    </row>
    <row r="238" spans="3:18" x14ac:dyDescent="0.2">
      <c r="C238" s="1" t="s">
        <v>39</v>
      </c>
      <c r="D238" s="1" t="s">
        <v>76</v>
      </c>
      <c r="E238" s="1"/>
      <c r="F238" s="1"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>
        <v>0</v>
      </c>
      <c r="R238" s="1"/>
    </row>
    <row r="239" spans="3:18" x14ac:dyDescent="0.2">
      <c r="C239" s="1" t="s">
        <v>40</v>
      </c>
      <c r="D239" s="1" t="s">
        <v>76</v>
      </c>
      <c r="E239" s="1"/>
      <c r="F239" s="1"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>
        <v>0</v>
      </c>
      <c r="R239" s="1"/>
    </row>
    <row r="240" spans="3:18" x14ac:dyDescent="0.2">
      <c r="C240" s="1" t="s">
        <v>41</v>
      </c>
      <c r="D240" s="1" t="s">
        <v>76</v>
      </c>
      <c r="E240" s="1"/>
      <c r="F240" s="1"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>
        <v>0</v>
      </c>
      <c r="R240" s="1"/>
    </row>
    <row r="241" spans="3:18" x14ac:dyDescent="0.2">
      <c r="C241" s="1" t="s">
        <v>42</v>
      </c>
      <c r="D241" s="1" t="s">
        <v>76</v>
      </c>
      <c r="E241" s="1"/>
      <c r="F241" s="1"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>
        <v>0</v>
      </c>
      <c r="R241" s="1"/>
    </row>
    <row r="242" spans="3:18" x14ac:dyDescent="0.2">
      <c r="C242" s="1" t="s">
        <v>43</v>
      </c>
      <c r="D242" s="1" t="s">
        <v>76</v>
      </c>
      <c r="E242" s="1"/>
      <c r="F242" s="1"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>
        <v>0</v>
      </c>
      <c r="R242" s="1"/>
    </row>
    <row r="243" spans="3:18" x14ac:dyDescent="0.2">
      <c r="C243" s="1" t="s">
        <v>44</v>
      </c>
      <c r="D243" s="1" t="s">
        <v>76</v>
      </c>
      <c r="E243" s="1"/>
      <c r="F243" s="1"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>
        <v>0</v>
      </c>
      <c r="R243" s="1"/>
    </row>
    <row r="244" spans="3:18" x14ac:dyDescent="0.2">
      <c r="C244" s="1" t="s">
        <v>45</v>
      </c>
      <c r="D244" s="1" t="s">
        <v>76</v>
      </c>
      <c r="E244" s="1"/>
      <c r="F244" s="1"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>
        <v>0</v>
      </c>
      <c r="R244" s="1"/>
    </row>
    <row r="245" spans="3:18" x14ac:dyDescent="0.2">
      <c r="C245" s="1" t="s">
        <v>46</v>
      </c>
      <c r="D245" s="1" t="s">
        <v>76</v>
      </c>
      <c r="E245" s="1"/>
      <c r="F245" s="1"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>
        <v>0</v>
      </c>
      <c r="R245" s="1"/>
    </row>
    <row r="246" spans="3:18" x14ac:dyDescent="0.2">
      <c r="C246" s="1" t="s">
        <v>47</v>
      </c>
      <c r="D246" s="1" t="s">
        <v>76</v>
      </c>
      <c r="E246" s="1"/>
      <c r="F246" s="1"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>
        <v>0</v>
      </c>
      <c r="R246" s="1"/>
    </row>
    <row r="247" spans="3:18" x14ac:dyDescent="0.2">
      <c r="C247" s="1" t="s">
        <v>48</v>
      </c>
      <c r="D247" s="1" t="s">
        <v>76</v>
      </c>
      <c r="E247" s="1"/>
      <c r="F247" s="1"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>
        <v>0</v>
      </c>
      <c r="R247" s="1"/>
    </row>
    <row r="248" spans="3:18" x14ac:dyDescent="0.2">
      <c r="C248" s="1" t="s">
        <v>49</v>
      </c>
      <c r="D248" s="1" t="s">
        <v>76</v>
      </c>
      <c r="E248" s="1"/>
      <c r="F248" s="1"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>
        <v>0</v>
      </c>
      <c r="R248" s="1"/>
    </row>
    <row r="249" spans="3:18" x14ac:dyDescent="0.2">
      <c r="C249" s="1" t="s">
        <v>50</v>
      </c>
      <c r="D249" s="1" t="s">
        <v>76</v>
      </c>
      <c r="E249" s="1"/>
      <c r="F249" s="1"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>
        <v>0</v>
      </c>
      <c r="R249" s="1"/>
    </row>
    <row r="250" spans="3:18" x14ac:dyDescent="0.2">
      <c r="C250" s="1" t="s">
        <v>51</v>
      </c>
      <c r="D250" s="1" t="s">
        <v>76</v>
      </c>
      <c r="E250" s="1"/>
      <c r="F250" s="1"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>
        <v>0</v>
      </c>
      <c r="R250" s="1"/>
    </row>
    <row r="251" spans="3:18" x14ac:dyDescent="0.2">
      <c r="C251" s="1" t="s">
        <v>52</v>
      </c>
      <c r="D251" s="1" t="s">
        <v>76</v>
      </c>
      <c r="E251" s="1"/>
      <c r="F251" s="1"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>
        <v>0</v>
      </c>
      <c r="R251" s="1"/>
    </row>
    <row r="252" spans="3:18" x14ac:dyDescent="0.2">
      <c r="C252" s="1" t="s">
        <v>53</v>
      </c>
      <c r="D252" s="1" t="s">
        <v>76</v>
      </c>
      <c r="E252" s="1"/>
      <c r="F252" s="1"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>
        <v>0</v>
      </c>
      <c r="R252" s="1"/>
    </row>
    <row r="253" spans="3:18" x14ac:dyDescent="0.2">
      <c r="C253" s="1" t="s">
        <v>54</v>
      </c>
      <c r="D253" s="1" t="s">
        <v>76</v>
      </c>
      <c r="E253" s="1"/>
      <c r="F253" s="1"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>
        <v>0</v>
      </c>
      <c r="R253" s="1"/>
    </row>
    <row r="254" spans="3:18" x14ac:dyDescent="0.2">
      <c r="C254" s="1" t="s">
        <v>55</v>
      </c>
      <c r="D254" s="1" t="s">
        <v>76</v>
      </c>
      <c r="E254" s="1"/>
      <c r="F254" s="1"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>
        <v>0</v>
      </c>
      <c r="R254" s="1"/>
    </row>
    <row r="255" spans="3:18" x14ac:dyDescent="0.2">
      <c r="C255" s="1" t="s">
        <v>56</v>
      </c>
      <c r="D255" s="1" t="s">
        <v>76</v>
      </c>
      <c r="E255" s="1"/>
      <c r="F255" s="1"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>
        <v>0</v>
      </c>
      <c r="R255" s="1"/>
    </row>
    <row r="256" spans="3:18" x14ac:dyDescent="0.2">
      <c r="C256" s="1" t="s">
        <v>59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3:18" x14ac:dyDescent="0.2">
      <c r="C257" s="1" t="s">
        <v>27</v>
      </c>
      <c r="D257" s="1"/>
      <c r="E257" s="1"/>
      <c r="F257" s="1">
        <v>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>
        <v>0.124939538887924</v>
      </c>
      <c r="R257" s="1"/>
    </row>
    <row r="258" spans="3:18" x14ac:dyDescent="0.2">
      <c r="C258" s="1" t="s">
        <v>28</v>
      </c>
      <c r="D258" s="1"/>
      <c r="E258" s="1"/>
      <c r="F258" s="1"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>
        <v>3.6458494140551603E-14</v>
      </c>
      <c r="R258" s="1"/>
    </row>
    <row r="259" spans="3:18" x14ac:dyDescent="0.2">
      <c r="C259" s="1" t="s">
        <v>29</v>
      </c>
      <c r="D259" s="1"/>
      <c r="E259" s="1"/>
      <c r="F259" s="1"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>
        <v>1.09998389736971E-2</v>
      </c>
      <c r="R259" s="1"/>
    </row>
    <row r="260" spans="3:18" x14ac:dyDescent="0.2">
      <c r="C260" s="1" t="s">
        <v>30</v>
      </c>
      <c r="D260" s="1"/>
      <c r="E260" s="1"/>
      <c r="F260" s="1">
        <v>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>
        <v>0.864060622138342</v>
      </c>
      <c r="R260" s="1"/>
    </row>
    <row r="261" spans="3:18" x14ac:dyDescent="0.2">
      <c r="C261" s="1" t="s">
        <v>31</v>
      </c>
      <c r="D261" s="1"/>
      <c r="E261" s="1"/>
      <c r="F261" s="1"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>
        <v>0</v>
      </c>
      <c r="R261" s="1"/>
    </row>
    <row r="262" spans="3:18" x14ac:dyDescent="0.2">
      <c r="C262" s="1" t="s">
        <v>32</v>
      </c>
      <c r="D262" s="1"/>
      <c r="E262" s="1"/>
      <c r="F262" s="1"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>
        <v>3.73288676721736E-95</v>
      </c>
      <c r="R262" s="1"/>
    </row>
    <row r="263" spans="3:18" x14ac:dyDescent="0.2">
      <c r="C263" s="1" t="s">
        <v>33</v>
      </c>
      <c r="D263" s="1"/>
      <c r="E263" s="1"/>
      <c r="F263" s="1"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>
        <v>3.4648198365611601E-79</v>
      </c>
      <c r="R263" s="1"/>
    </row>
    <row r="264" spans="3:18" x14ac:dyDescent="0.2">
      <c r="C264" s="1" t="s">
        <v>34</v>
      </c>
      <c r="D264" s="1"/>
      <c r="E264" s="1"/>
      <c r="F264" s="1"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>
        <v>4.7790451686383101E-110</v>
      </c>
      <c r="R264" s="1"/>
    </row>
    <row r="265" spans="3:18" x14ac:dyDescent="0.2">
      <c r="C265" s="1" t="s">
        <v>35</v>
      </c>
      <c r="D265" s="1"/>
      <c r="E265" s="1"/>
      <c r="F265" s="1"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>
        <v>4.6558619654658299E-110</v>
      </c>
      <c r="R265" s="1"/>
    </row>
    <row r="266" spans="3:18" x14ac:dyDescent="0.2">
      <c r="C266" s="1" t="s">
        <v>36</v>
      </c>
      <c r="D266" s="1"/>
      <c r="E266" s="1"/>
      <c r="F266" s="1"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>
        <v>0</v>
      </c>
      <c r="R266" s="1"/>
    </row>
    <row r="267" spans="3:18" x14ac:dyDescent="0.2">
      <c r="C267" s="1" t="s">
        <v>37</v>
      </c>
      <c r="D267" s="1"/>
      <c r="E267" s="1"/>
      <c r="F267" s="1"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>
        <v>0</v>
      </c>
      <c r="R267" s="1"/>
    </row>
    <row r="268" spans="3:18" x14ac:dyDescent="0.2">
      <c r="C268" s="1" t="s">
        <v>38</v>
      </c>
      <c r="D268" s="1"/>
      <c r="E268" s="1"/>
      <c r="F268" s="1"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>
        <v>0</v>
      </c>
      <c r="R268" s="1"/>
    </row>
    <row r="269" spans="3:18" x14ac:dyDescent="0.2">
      <c r="C269" s="1" t="s">
        <v>39</v>
      </c>
      <c r="D269" s="1"/>
      <c r="E269" s="1"/>
      <c r="F269" s="1"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>
        <v>0</v>
      </c>
      <c r="R269" s="1"/>
    </row>
    <row r="270" spans="3:18" x14ac:dyDescent="0.2">
      <c r="C270" s="1" t="s">
        <v>40</v>
      </c>
      <c r="D270" s="1"/>
      <c r="E270" s="1"/>
      <c r="F270" s="1"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>
        <v>0</v>
      </c>
      <c r="R270" s="1"/>
    </row>
    <row r="271" spans="3:18" x14ac:dyDescent="0.2">
      <c r="C271" s="1" t="s">
        <v>41</v>
      </c>
      <c r="D271" s="1"/>
      <c r="E271" s="1"/>
      <c r="F271" s="1"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>
        <v>0</v>
      </c>
      <c r="R271" s="1"/>
    </row>
    <row r="272" spans="3:18" x14ac:dyDescent="0.2">
      <c r="C272" s="1" t="s">
        <v>42</v>
      </c>
      <c r="D272" s="1"/>
      <c r="E272" s="1"/>
      <c r="F272" s="1"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>
        <v>0</v>
      </c>
      <c r="R272" s="1"/>
    </row>
    <row r="273" spans="3:18" x14ac:dyDescent="0.2">
      <c r="C273" s="1" t="s">
        <v>43</v>
      </c>
      <c r="D273" s="1"/>
      <c r="E273" s="1"/>
      <c r="F273" s="1"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>
        <v>0</v>
      </c>
      <c r="R273" s="1"/>
    </row>
    <row r="274" spans="3:18" x14ac:dyDescent="0.2">
      <c r="C274" s="1" t="s">
        <v>44</v>
      </c>
      <c r="D274" s="1"/>
      <c r="E274" s="1"/>
      <c r="F274" s="1"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>
        <v>0</v>
      </c>
      <c r="R274" s="1"/>
    </row>
    <row r="275" spans="3:18" x14ac:dyDescent="0.2">
      <c r="C275" s="1" t="s">
        <v>45</v>
      </c>
      <c r="D275" s="1"/>
      <c r="E275" s="1"/>
      <c r="F275" s="1"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>
        <v>0</v>
      </c>
      <c r="R275" s="1"/>
    </row>
    <row r="276" spans="3:18" x14ac:dyDescent="0.2">
      <c r="C276" s="1" t="s">
        <v>46</v>
      </c>
      <c r="D276" s="1"/>
      <c r="E276" s="1"/>
      <c r="F276" s="1"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>
        <v>0</v>
      </c>
      <c r="R276" s="1"/>
    </row>
    <row r="277" spans="3:18" x14ac:dyDescent="0.2">
      <c r="C277" s="1" t="s">
        <v>47</v>
      </c>
      <c r="D277" s="1"/>
      <c r="E277" s="1"/>
      <c r="F277" s="1"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>
        <v>0</v>
      </c>
      <c r="R277" s="1"/>
    </row>
    <row r="278" spans="3:18" x14ac:dyDescent="0.2">
      <c r="C278" s="1" t="s">
        <v>48</v>
      </c>
      <c r="D278" s="1"/>
      <c r="E278" s="1"/>
      <c r="F278" s="1"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>
        <v>0</v>
      </c>
      <c r="R278" s="1"/>
    </row>
    <row r="279" spans="3:18" x14ac:dyDescent="0.2">
      <c r="C279" s="1" t="s">
        <v>49</v>
      </c>
      <c r="D279" s="1"/>
      <c r="E279" s="1"/>
      <c r="F279" s="1"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>
        <v>0</v>
      </c>
      <c r="R279" s="1"/>
    </row>
    <row r="280" spans="3:18" x14ac:dyDescent="0.2">
      <c r="C280" s="1" t="s">
        <v>50</v>
      </c>
      <c r="D280" s="1"/>
      <c r="E280" s="1"/>
      <c r="F280" s="1">
        <v>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>
        <v>0</v>
      </c>
      <c r="R280" s="1"/>
    </row>
    <row r="281" spans="3:18" x14ac:dyDescent="0.2">
      <c r="C281" s="1" t="s">
        <v>51</v>
      </c>
      <c r="D281" s="1"/>
      <c r="E281" s="1"/>
      <c r="F281" s="1">
        <v>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>
        <v>0</v>
      </c>
      <c r="R281" s="1"/>
    </row>
    <row r="282" spans="3:18" x14ac:dyDescent="0.2">
      <c r="C282" s="1" t="s">
        <v>52</v>
      </c>
      <c r="D282" s="1"/>
      <c r="E282" s="1"/>
      <c r="F282" s="1">
        <v>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>
        <v>0</v>
      </c>
      <c r="R282" s="1"/>
    </row>
    <row r="283" spans="3:18" x14ac:dyDescent="0.2">
      <c r="C283" s="1" t="s">
        <v>53</v>
      </c>
      <c r="D283" s="1"/>
      <c r="E283" s="1"/>
      <c r="F283" s="1">
        <v>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>
        <v>0</v>
      </c>
      <c r="R283" s="1"/>
    </row>
    <row r="284" spans="3:18" x14ac:dyDescent="0.2">
      <c r="C284" s="1" t="s">
        <v>54</v>
      </c>
      <c r="D284" s="1"/>
      <c r="E284" s="1"/>
      <c r="F284" s="1"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>
        <v>0</v>
      </c>
      <c r="R284" s="1"/>
    </row>
    <row r="285" spans="3:18" x14ac:dyDescent="0.2">
      <c r="C285" s="1" t="s">
        <v>55</v>
      </c>
      <c r="D285" s="1"/>
      <c r="E285" s="1"/>
      <c r="F285" s="1"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>
        <v>0</v>
      </c>
      <c r="R285" s="1"/>
    </row>
    <row r="286" spans="3:18" x14ac:dyDescent="0.2">
      <c r="C286" s="1" t="s">
        <v>56</v>
      </c>
      <c r="D286" s="1"/>
      <c r="E286" s="1"/>
      <c r="F286" s="1"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>
        <v>0</v>
      </c>
      <c r="R286" s="1"/>
    </row>
    <row r="287" spans="3:18" x14ac:dyDescent="0.2">
      <c r="C287" s="1" t="s">
        <v>60</v>
      </c>
      <c r="D287" s="1" t="s">
        <v>77</v>
      </c>
      <c r="E287" s="1"/>
      <c r="F287" s="1">
        <v>138.41227682846073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>
        <v>175.42168517256863</v>
      </c>
      <c r="R287" s="1"/>
    </row>
    <row r="288" spans="3:18" x14ac:dyDescent="0.2">
      <c r="C288" s="1" t="s">
        <v>62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3:18" x14ac:dyDescent="0.2">
      <c r="C289" s="1" t="s">
        <v>18</v>
      </c>
      <c r="D289" s="1" t="s">
        <v>68</v>
      </c>
      <c r="E289" s="1">
        <v>-120550.54710084182</v>
      </c>
      <c r="F289" s="1"/>
      <c r="G289" s="1">
        <v>-149851.14575149707</v>
      </c>
      <c r="H289" s="1">
        <v>-341555.28088102199</v>
      </c>
      <c r="I289" s="1">
        <v>-158081.51215104319</v>
      </c>
      <c r="J289" s="1"/>
      <c r="K289" s="1"/>
      <c r="L289" s="1"/>
      <c r="M289" s="1">
        <v>-69977.579480742352</v>
      </c>
      <c r="N289" s="1">
        <v>-149910.7834117196</v>
      </c>
      <c r="O289" s="1">
        <v>-178516.66855446066</v>
      </c>
      <c r="P289" s="1">
        <v>-178516.66855446066</v>
      </c>
      <c r="Q289" s="1">
        <v>-110926.48752637832</v>
      </c>
      <c r="R289" s="1">
        <v>-110203.8496568148</v>
      </c>
    </row>
    <row r="290" spans="3:18" x14ac:dyDescent="0.2">
      <c r="C290" s="1" t="s">
        <v>19</v>
      </c>
      <c r="D290" s="1" t="s">
        <v>69</v>
      </c>
      <c r="E290" s="1">
        <v>-2247.8037895013758</v>
      </c>
      <c r="F290" s="1"/>
      <c r="G290" s="1">
        <v>-2182.158610068157</v>
      </c>
      <c r="H290" s="1">
        <v>-3106.5843551813077</v>
      </c>
      <c r="I290" s="1">
        <v>-3292.3834113811504</v>
      </c>
      <c r="J290" s="1"/>
      <c r="K290" s="1"/>
      <c r="L290" s="1"/>
      <c r="M290" s="1">
        <v>-1549.1644552061168</v>
      </c>
      <c r="N290" s="1">
        <v>-3139.9624744844032</v>
      </c>
      <c r="O290" s="1">
        <v>-2402.3898341449312</v>
      </c>
      <c r="P290" s="1">
        <v>-2402.3898341449312</v>
      </c>
      <c r="Q290" s="1">
        <v>-1906.6709059073899</v>
      </c>
      <c r="R290" s="1">
        <v>-1915.4724144437039</v>
      </c>
    </row>
    <row r="291" spans="3:18" x14ac:dyDescent="0.2">
      <c r="C291" s="1" t="s">
        <v>20</v>
      </c>
      <c r="D291" s="1" t="s">
        <v>70</v>
      </c>
      <c r="E291" s="1">
        <v>-62.810390116063417</v>
      </c>
      <c r="F291" s="1"/>
      <c r="G291" s="1">
        <v>-72.890955931707651</v>
      </c>
      <c r="H291" s="1">
        <v>-87.195817767493267</v>
      </c>
      <c r="I291" s="1">
        <v>-55.028238639199479</v>
      </c>
      <c r="J291" s="1"/>
      <c r="K291" s="1"/>
      <c r="L291" s="1"/>
      <c r="M291" s="1">
        <v>-57.550107855129589</v>
      </c>
      <c r="N291" s="1">
        <v>-55.013995089429571</v>
      </c>
      <c r="O291" s="1">
        <v>-80.058740008369682</v>
      </c>
      <c r="P291" s="1">
        <v>-80.058740008369682</v>
      </c>
      <c r="Q291" s="1">
        <v>-39.35086306108235</v>
      </c>
      <c r="R291" s="1">
        <v>-39.295431080549413</v>
      </c>
    </row>
    <row r="292" spans="3:18" x14ac:dyDescent="0.2">
      <c r="C292" s="1" t="s">
        <v>21</v>
      </c>
      <c r="D292" s="1" t="s">
        <v>71</v>
      </c>
      <c r="E292" s="1">
        <v>-1.1711720628264257</v>
      </c>
      <c r="F292" s="1"/>
      <c r="G292" s="1">
        <v>-1.0614508570141203</v>
      </c>
      <c r="H292" s="1">
        <v>-0.79308146726647788</v>
      </c>
      <c r="I292" s="1">
        <v>-1.1460800038407781</v>
      </c>
      <c r="J292" s="1"/>
      <c r="K292" s="1"/>
      <c r="L292" s="1"/>
      <c r="M292" s="1">
        <v>-1.2740449461670822</v>
      </c>
      <c r="N292" s="1">
        <v>-1.1522978949276415</v>
      </c>
      <c r="O292" s="1">
        <v>-1.077391286135748</v>
      </c>
      <c r="P292" s="1">
        <v>-1.077391286135748</v>
      </c>
      <c r="Q292" s="1">
        <v>-0.67638620309752073</v>
      </c>
      <c r="R292" s="1">
        <v>-0.68300077068870013</v>
      </c>
    </row>
    <row r="293" spans="3:18" x14ac:dyDescent="0.2">
      <c r="C293" s="1" t="s">
        <v>22</v>
      </c>
      <c r="D293" s="1" t="s">
        <v>72</v>
      </c>
      <c r="E293" s="1">
        <v>3.0441322361353607E-2</v>
      </c>
      <c r="F293" s="1"/>
      <c r="G293" s="1">
        <v>2.5475373613562977E-2</v>
      </c>
      <c r="H293" s="1">
        <v>3.3327293531972266E-2</v>
      </c>
      <c r="I293" s="1">
        <v>3.8171860176812941E-2</v>
      </c>
      <c r="J293" s="1"/>
      <c r="K293" s="1"/>
      <c r="L293" s="1"/>
      <c r="M293" s="1">
        <v>2.8672601958202516E-2</v>
      </c>
      <c r="N293" s="1">
        <v>3.574383081837313E-2</v>
      </c>
      <c r="O293" s="1">
        <v>1.7954700964544167E-2</v>
      </c>
      <c r="P293" s="1">
        <v>1.7954700964544167E-2</v>
      </c>
      <c r="Q293" s="1">
        <v>1.3389184494320272E-2</v>
      </c>
      <c r="R293" s="1">
        <v>1.3287912316424167E-2</v>
      </c>
    </row>
    <row r="294" spans="3:18" x14ac:dyDescent="0.2">
      <c r="C294" s="1" t="s">
        <v>23</v>
      </c>
      <c r="D294" s="1" t="s">
        <v>73</v>
      </c>
      <c r="E294" s="1">
        <v>1.6325793569145601</v>
      </c>
      <c r="F294" s="1"/>
      <c r="G294" s="1">
        <v>1.74942092056298</v>
      </c>
      <c r="H294" s="1">
        <v>3.6641892837488101</v>
      </c>
      <c r="I294" s="1">
        <v>1.83279546285814</v>
      </c>
      <c r="J294" s="1"/>
      <c r="K294" s="1"/>
      <c r="L294" s="1"/>
      <c r="M294" s="1">
        <v>1.29517513502648</v>
      </c>
      <c r="N294" s="1">
        <v>1.70651264900806</v>
      </c>
      <c r="O294" s="1">
        <v>1.3341770579972498</v>
      </c>
      <c r="P294" s="1">
        <v>1.3341770579972498</v>
      </c>
      <c r="Q294" s="1">
        <v>0.77895729262768498</v>
      </c>
      <c r="R294" s="1">
        <v>0.76450022465994905</v>
      </c>
    </row>
    <row r="295" spans="3:18" x14ac:dyDescent="0.2">
      <c r="C295" s="1" t="s">
        <v>24</v>
      </c>
      <c r="D295" s="1" t="s">
        <v>74</v>
      </c>
      <c r="E295" s="1">
        <v>-115512.13918270984</v>
      </c>
      <c r="F295" s="1"/>
      <c r="G295" s="1">
        <v>-72291.033905099495</v>
      </c>
      <c r="H295" s="1">
        <v>-26062.497063519248</v>
      </c>
      <c r="I295" s="1">
        <v>-184823.71226975427</v>
      </c>
      <c r="J295" s="1"/>
      <c r="K295" s="1"/>
      <c r="L295" s="1"/>
      <c r="M295" s="1">
        <v>-8635.9080355376718</v>
      </c>
      <c r="N295" s="1">
        <v>-193771.20069296737</v>
      </c>
      <c r="O295" s="1">
        <v>-99741.603428486371</v>
      </c>
      <c r="P295" s="1">
        <v>-99741.603428486371</v>
      </c>
      <c r="Q295" s="1">
        <v>-141038.49006178862</v>
      </c>
      <c r="R295" s="1">
        <v>-142446.9393261729</v>
      </c>
    </row>
    <row r="296" spans="3:18" x14ac:dyDescent="0.2">
      <c r="C296" s="1" t="s">
        <v>25</v>
      </c>
      <c r="D296" s="1"/>
      <c r="E296" s="1">
        <v>53.630369191424499</v>
      </c>
      <c r="F296" s="1"/>
      <c r="G296" s="1">
        <v>68.671060417013706</v>
      </c>
      <c r="H296" s="1">
        <v>109.9456</v>
      </c>
      <c r="I296" s="1">
        <v>48.014308298536903</v>
      </c>
      <c r="J296" s="1"/>
      <c r="K296" s="1"/>
      <c r="L296" s="1"/>
      <c r="M296" s="1">
        <v>45.171175497588997</v>
      </c>
      <c r="N296" s="1">
        <v>47.742858276144098</v>
      </c>
      <c r="O296" s="1">
        <v>74.307952030607495</v>
      </c>
      <c r="P296" s="1">
        <v>74.307952030607495</v>
      </c>
      <c r="Q296" s="1">
        <v>58.1780983717209</v>
      </c>
      <c r="R296" s="1">
        <v>57.5335091363456</v>
      </c>
    </row>
    <row r="297" spans="3:18" x14ac:dyDescent="0.2">
      <c r="C297" s="1" t="s">
        <v>26</v>
      </c>
      <c r="D297" s="1" t="s">
        <v>75</v>
      </c>
      <c r="E297" s="1">
        <v>3.4495380656372912</v>
      </c>
      <c r="F297" s="1"/>
      <c r="G297" s="1">
        <v>1.7367082564048932</v>
      </c>
      <c r="H297" s="1">
        <v>0.27469927909371833</v>
      </c>
      <c r="I297" s="1">
        <v>4.2090017682483563</v>
      </c>
      <c r="J297" s="1"/>
      <c r="K297" s="1"/>
      <c r="L297" s="1"/>
      <c r="M297" s="1">
        <v>0.44427471139511587</v>
      </c>
      <c r="N297" s="1">
        <v>4.6532764796434742</v>
      </c>
      <c r="O297" s="1">
        <v>2.0114075354986141</v>
      </c>
      <c r="P297" s="1">
        <v>2.0114075354986141</v>
      </c>
      <c r="Q297" s="1">
        <v>4.5772526972126322</v>
      </c>
      <c r="R297" s="1">
        <v>4.653276479643476</v>
      </c>
    </row>
    <row r="298" spans="3:18" x14ac:dyDescent="0.2">
      <c r="C298" s="1" t="s">
        <v>27</v>
      </c>
      <c r="D298" s="1" t="s">
        <v>75</v>
      </c>
      <c r="E298" s="1">
        <v>1.5803251462092189</v>
      </c>
      <c r="F298" s="1"/>
      <c r="G298" s="1">
        <v>0.6379111400300207</v>
      </c>
      <c r="H298" s="1">
        <v>0</v>
      </c>
      <c r="I298" s="1">
        <v>2.8355053727797666</v>
      </c>
      <c r="J298" s="1"/>
      <c r="K298" s="1"/>
      <c r="L298" s="1"/>
      <c r="M298" s="1">
        <v>0</v>
      </c>
      <c r="N298" s="1">
        <v>2.8355053727797657</v>
      </c>
      <c r="O298" s="1">
        <v>0.63791114003002269</v>
      </c>
      <c r="P298" s="1">
        <v>0.63791114003002269</v>
      </c>
      <c r="Q298" s="1">
        <v>2.7628460864235018</v>
      </c>
      <c r="R298" s="1">
        <v>2.8355053727797661</v>
      </c>
    </row>
    <row r="299" spans="3:18" x14ac:dyDescent="0.2">
      <c r="C299" s="1" t="s">
        <v>28</v>
      </c>
      <c r="D299" s="1" t="s">
        <v>75</v>
      </c>
      <c r="E299" s="1">
        <v>1.45086413590284</v>
      </c>
      <c r="F299" s="1"/>
      <c r="G299" s="1">
        <v>1.0987971163748724</v>
      </c>
      <c r="H299" s="1">
        <v>0</v>
      </c>
      <c r="I299" s="1">
        <v>0</v>
      </c>
      <c r="J299" s="1"/>
      <c r="K299" s="1"/>
      <c r="L299" s="1"/>
      <c r="M299" s="1">
        <v>7.7367740434251542E-2</v>
      </c>
      <c r="N299" s="1">
        <v>7.7367740434251819E-2</v>
      </c>
      <c r="O299" s="1">
        <v>1.0987971163748731</v>
      </c>
      <c r="P299" s="1">
        <v>1.0987971163748731</v>
      </c>
      <c r="Q299" s="1">
        <v>7.736774043424767E-2</v>
      </c>
      <c r="R299" s="1">
        <v>7.7367740434251847E-2</v>
      </c>
    </row>
    <row r="300" spans="3:18" x14ac:dyDescent="0.2">
      <c r="C300" s="1" t="s">
        <v>29</v>
      </c>
      <c r="D300" s="1" t="s">
        <v>75</v>
      </c>
      <c r="E300" s="1">
        <v>0.41834878352523219</v>
      </c>
      <c r="F300" s="1"/>
      <c r="G300" s="1">
        <v>0</v>
      </c>
      <c r="H300" s="1">
        <v>0</v>
      </c>
      <c r="I300" s="1">
        <v>0</v>
      </c>
      <c r="J300" s="1"/>
      <c r="K300" s="1"/>
      <c r="L300" s="1"/>
      <c r="M300" s="1">
        <v>0.36690697096086433</v>
      </c>
      <c r="N300" s="1">
        <v>0.36690697096086466</v>
      </c>
      <c r="O300" s="1">
        <v>0</v>
      </c>
      <c r="P300" s="1">
        <v>0</v>
      </c>
      <c r="Q300" s="1">
        <v>0.36351890245020868</v>
      </c>
      <c r="R300" s="1">
        <v>0.36690697096086466</v>
      </c>
    </row>
    <row r="301" spans="3:18" x14ac:dyDescent="0.2">
      <c r="C301" s="1" t="s">
        <v>30</v>
      </c>
      <c r="D301" s="1" t="s">
        <v>75</v>
      </c>
      <c r="E301" s="1">
        <v>0</v>
      </c>
      <c r="F301" s="1"/>
      <c r="G301" s="1">
        <v>0</v>
      </c>
      <c r="H301" s="1">
        <v>0</v>
      </c>
      <c r="I301" s="1">
        <v>0</v>
      </c>
      <c r="J301" s="1"/>
      <c r="K301" s="1"/>
      <c r="L301" s="1"/>
      <c r="M301" s="1">
        <v>0</v>
      </c>
      <c r="N301" s="1">
        <v>0</v>
      </c>
      <c r="O301" s="1">
        <v>0</v>
      </c>
      <c r="P301" s="1">
        <v>0</v>
      </c>
      <c r="Q301" s="1">
        <v>2.3572436079903989E-5</v>
      </c>
      <c r="R301" s="1">
        <v>0</v>
      </c>
    </row>
    <row r="302" spans="3:18" x14ac:dyDescent="0.2">
      <c r="C302" s="1" t="s">
        <v>31</v>
      </c>
      <c r="D302" s="1" t="s">
        <v>75</v>
      </c>
      <c r="E302" s="1">
        <v>0</v>
      </c>
      <c r="F302" s="1"/>
      <c r="G302" s="1">
        <v>0</v>
      </c>
      <c r="H302" s="1">
        <v>0</v>
      </c>
      <c r="I302" s="1">
        <v>0</v>
      </c>
      <c r="J302" s="1"/>
      <c r="K302" s="1"/>
      <c r="L302" s="1"/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3:18" x14ac:dyDescent="0.2">
      <c r="C303" s="1" t="s">
        <v>32</v>
      </c>
      <c r="D303" s="1" t="s">
        <v>75</v>
      </c>
      <c r="E303" s="1">
        <v>0</v>
      </c>
      <c r="F303" s="1"/>
      <c r="G303" s="1">
        <v>0</v>
      </c>
      <c r="H303" s="1">
        <v>0.27469927909371833</v>
      </c>
      <c r="I303" s="1">
        <v>1.3734963954685895</v>
      </c>
      <c r="J303" s="1"/>
      <c r="K303" s="1"/>
      <c r="L303" s="1"/>
      <c r="M303" s="1">
        <v>0</v>
      </c>
      <c r="N303" s="1">
        <v>1.3734963954685928</v>
      </c>
      <c r="O303" s="1">
        <v>0.27469927909371827</v>
      </c>
      <c r="P303" s="1">
        <v>0.27469927909371827</v>
      </c>
      <c r="Q303" s="1">
        <v>0.34466014418125701</v>
      </c>
      <c r="R303" s="1">
        <v>0.34466014418125712</v>
      </c>
    </row>
    <row r="304" spans="3:18" x14ac:dyDescent="0.2">
      <c r="C304" s="1" t="s">
        <v>33</v>
      </c>
      <c r="D304" s="1" t="s">
        <v>75</v>
      </c>
      <c r="E304" s="1">
        <v>0</v>
      </c>
      <c r="F304" s="1"/>
      <c r="G304" s="1">
        <v>0</v>
      </c>
      <c r="H304" s="1">
        <v>0</v>
      </c>
      <c r="I304" s="1">
        <v>0</v>
      </c>
      <c r="J304" s="1"/>
      <c r="K304" s="1"/>
      <c r="L304" s="1"/>
      <c r="M304" s="1">
        <v>0</v>
      </c>
      <c r="N304" s="1">
        <v>0</v>
      </c>
      <c r="O304" s="1">
        <v>0</v>
      </c>
      <c r="P304" s="1">
        <v>0</v>
      </c>
      <c r="Q304" s="1">
        <v>0.72018537590113585</v>
      </c>
      <c r="R304" s="1">
        <v>0.72018537590113629</v>
      </c>
    </row>
    <row r="305" spans="3:18" x14ac:dyDescent="0.2">
      <c r="C305" s="1" t="s">
        <v>34</v>
      </c>
      <c r="D305" s="1" t="s">
        <v>75</v>
      </c>
      <c r="E305" s="1">
        <v>0</v>
      </c>
      <c r="F305" s="1"/>
      <c r="G305" s="1">
        <v>0</v>
      </c>
      <c r="H305" s="1">
        <v>0</v>
      </c>
      <c r="I305" s="1">
        <v>0</v>
      </c>
      <c r="J305" s="1"/>
      <c r="K305" s="1"/>
      <c r="L305" s="1"/>
      <c r="M305" s="1">
        <v>0</v>
      </c>
      <c r="N305" s="1">
        <v>0</v>
      </c>
      <c r="O305" s="1">
        <v>0</v>
      </c>
      <c r="P305" s="1">
        <v>0</v>
      </c>
      <c r="Q305" s="1">
        <v>0.15432543769310023</v>
      </c>
      <c r="R305" s="1">
        <v>0.15432543769310031</v>
      </c>
    </row>
    <row r="306" spans="3:18" x14ac:dyDescent="0.2">
      <c r="C306" s="1" t="s">
        <v>35</v>
      </c>
      <c r="D306" s="1" t="s">
        <v>75</v>
      </c>
      <c r="E306" s="1">
        <v>0</v>
      </c>
      <c r="F306" s="1"/>
      <c r="G306" s="1">
        <v>0</v>
      </c>
      <c r="H306" s="1">
        <v>0</v>
      </c>
      <c r="I306" s="1">
        <v>0</v>
      </c>
      <c r="J306" s="1"/>
      <c r="K306" s="1"/>
      <c r="L306" s="1"/>
      <c r="M306" s="1">
        <v>0</v>
      </c>
      <c r="N306" s="1">
        <v>0</v>
      </c>
      <c r="O306" s="1">
        <v>0</v>
      </c>
      <c r="P306" s="1">
        <v>0</v>
      </c>
      <c r="Q306" s="1">
        <v>0.15432543769310023</v>
      </c>
      <c r="R306" s="1">
        <v>0.15432543769310031</v>
      </c>
    </row>
    <row r="307" spans="3:18" x14ac:dyDescent="0.2">
      <c r="C307" s="1" t="s">
        <v>36</v>
      </c>
      <c r="D307" s="1" t="s">
        <v>75</v>
      </c>
      <c r="E307" s="1">
        <v>0</v>
      </c>
      <c r="F307" s="1"/>
      <c r="G307" s="1">
        <v>0</v>
      </c>
      <c r="H307" s="1">
        <v>0</v>
      </c>
      <c r="I307" s="1">
        <v>0</v>
      </c>
      <c r="J307" s="1"/>
      <c r="K307" s="1"/>
      <c r="L307" s="1"/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3:18" x14ac:dyDescent="0.2">
      <c r="C308" s="1" t="s">
        <v>37</v>
      </c>
      <c r="D308" s="1" t="s">
        <v>75</v>
      </c>
      <c r="E308" s="1">
        <v>0</v>
      </c>
      <c r="F308" s="1"/>
      <c r="G308" s="1">
        <v>0</v>
      </c>
      <c r="H308" s="1">
        <v>0</v>
      </c>
      <c r="I308" s="1">
        <v>0</v>
      </c>
      <c r="J308" s="1"/>
      <c r="K308" s="1"/>
      <c r="L308" s="1"/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3:18" x14ac:dyDescent="0.2">
      <c r="C309" s="1" t="s">
        <v>38</v>
      </c>
      <c r="D309" s="1" t="s">
        <v>75</v>
      </c>
      <c r="E309" s="1">
        <v>0</v>
      </c>
      <c r="F309" s="1"/>
      <c r="G309" s="1">
        <v>0</v>
      </c>
      <c r="H309" s="1">
        <v>0</v>
      </c>
      <c r="I309" s="1">
        <v>0</v>
      </c>
      <c r="J309" s="1"/>
      <c r="K309" s="1"/>
      <c r="L309" s="1"/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3:18" x14ac:dyDescent="0.2">
      <c r="C310" s="1" t="s">
        <v>39</v>
      </c>
      <c r="D310" s="1" t="s">
        <v>75</v>
      </c>
      <c r="E310" s="1">
        <v>0</v>
      </c>
      <c r="F310" s="1"/>
      <c r="G310" s="1">
        <v>0</v>
      </c>
      <c r="H310" s="1">
        <v>0</v>
      </c>
      <c r="I310" s="1">
        <v>0</v>
      </c>
      <c r="J310" s="1"/>
      <c r="K310" s="1"/>
      <c r="L310" s="1"/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</row>
    <row r="311" spans="3:18" x14ac:dyDescent="0.2">
      <c r="C311" s="1" t="s">
        <v>40</v>
      </c>
      <c r="D311" s="1" t="s">
        <v>75</v>
      </c>
      <c r="E311" s="1">
        <v>0</v>
      </c>
      <c r="F311" s="1"/>
      <c r="G311" s="1">
        <v>0</v>
      </c>
      <c r="H311" s="1">
        <v>0</v>
      </c>
      <c r="I311" s="1">
        <v>0</v>
      </c>
      <c r="J311" s="1"/>
      <c r="K311" s="1"/>
      <c r="L311" s="1"/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</row>
    <row r="312" spans="3:18" x14ac:dyDescent="0.2">
      <c r="C312" s="1" t="s">
        <v>41</v>
      </c>
      <c r="D312" s="1" t="s">
        <v>75</v>
      </c>
      <c r="E312" s="1">
        <v>0</v>
      </c>
      <c r="F312" s="1"/>
      <c r="G312" s="1">
        <v>0</v>
      </c>
      <c r="H312" s="1">
        <v>0</v>
      </c>
      <c r="I312" s="1">
        <v>0</v>
      </c>
      <c r="J312" s="1"/>
      <c r="K312" s="1"/>
      <c r="L312" s="1"/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</row>
    <row r="313" spans="3:18" x14ac:dyDescent="0.2">
      <c r="C313" s="1" t="s">
        <v>42</v>
      </c>
      <c r="D313" s="1" t="s">
        <v>75</v>
      </c>
      <c r="E313" s="1">
        <v>0</v>
      </c>
      <c r="F313" s="1"/>
      <c r="G313" s="1">
        <v>0</v>
      </c>
      <c r="H313" s="1">
        <v>0</v>
      </c>
      <c r="I313" s="1">
        <v>0</v>
      </c>
      <c r="J313" s="1"/>
      <c r="K313" s="1"/>
      <c r="L313" s="1"/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</row>
    <row r="314" spans="3:18" x14ac:dyDescent="0.2">
      <c r="C314" s="1" t="s">
        <v>43</v>
      </c>
      <c r="D314" s="1" t="s">
        <v>75</v>
      </c>
      <c r="E314" s="1">
        <v>0</v>
      </c>
      <c r="F314" s="1"/>
      <c r="G314" s="1">
        <v>0</v>
      </c>
      <c r="H314" s="1">
        <v>0</v>
      </c>
      <c r="I314" s="1">
        <v>0</v>
      </c>
      <c r="J314" s="1"/>
      <c r="K314" s="1"/>
      <c r="L314" s="1"/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</row>
    <row r="315" spans="3:18" x14ac:dyDescent="0.2">
      <c r="C315" s="1" t="s">
        <v>44</v>
      </c>
      <c r="D315" s="1" t="s">
        <v>75</v>
      </c>
      <c r="E315" s="1">
        <v>0</v>
      </c>
      <c r="F315" s="1"/>
      <c r="G315" s="1">
        <v>0</v>
      </c>
      <c r="H315" s="1">
        <v>0</v>
      </c>
      <c r="I315" s="1">
        <v>0</v>
      </c>
      <c r="J315" s="1"/>
      <c r="K315" s="1"/>
      <c r="L315" s="1"/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</row>
    <row r="316" spans="3:18" x14ac:dyDescent="0.2">
      <c r="C316" s="1" t="s">
        <v>45</v>
      </c>
      <c r="D316" s="1" t="s">
        <v>75</v>
      </c>
      <c r="E316" s="1">
        <v>0</v>
      </c>
      <c r="F316" s="1"/>
      <c r="G316" s="1">
        <v>0</v>
      </c>
      <c r="H316" s="1">
        <v>0</v>
      </c>
      <c r="I316" s="1">
        <v>0</v>
      </c>
      <c r="J316" s="1"/>
      <c r="K316" s="1"/>
      <c r="L316" s="1"/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</row>
    <row r="317" spans="3:18" x14ac:dyDescent="0.2">
      <c r="C317" s="1" t="s">
        <v>46</v>
      </c>
      <c r="D317" s="1" t="s">
        <v>75</v>
      </c>
      <c r="E317" s="1">
        <v>0</v>
      </c>
      <c r="F317" s="1"/>
      <c r="G317" s="1">
        <v>0</v>
      </c>
      <c r="H317" s="1">
        <v>0</v>
      </c>
      <c r="I317" s="1">
        <v>0</v>
      </c>
      <c r="J317" s="1"/>
      <c r="K317" s="1"/>
      <c r="L317" s="1"/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</row>
    <row r="318" spans="3:18" x14ac:dyDescent="0.2">
      <c r="C318" s="1" t="s">
        <v>47</v>
      </c>
      <c r="D318" s="1" t="s">
        <v>75</v>
      </c>
      <c r="E318" s="1">
        <v>0</v>
      </c>
      <c r="F318" s="1"/>
      <c r="G318" s="1">
        <v>0</v>
      </c>
      <c r="H318" s="1">
        <v>0</v>
      </c>
      <c r="I318" s="1">
        <v>0</v>
      </c>
      <c r="J318" s="1"/>
      <c r="K318" s="1"/>
      <c r="L318" s="1"/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</row>
    <row r="319" spans="3:18" x14ac:dyDescent="0.2">
      <c r="C319" s="1" t="s">
        <v>48</v>
      </c>
      <c r="D319" s="1" t="s">
        <v>75</v>
      </c>
      <c r="E319" s="1">
        <v>0</v>
      </c>
      <c r="F319" s="1"/>
      <c r="G319" s="1">
        <v>0</v>
      </c>
      <c r="H319" s="1">
        <v>0</v>
      </c>
      <c r="I319" s="1">
        <v>0</v>
      </c>
      <c r="J319" s="1"/>
      <c r="K319" s="1"/>
      <c r="L319" s="1"/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</row>
    <row r="320" spans="3:18" x14ac:dyDescent="0.2">
      <c r="C320" s="1" t="s">
        <v>49</v>
      </c>
      <c r="D320" s="1" t="s">
        <v>75</v>
      </c>
      <c r="E320" s="1">
        <v>0</v>
      </c>
      <c r="F320" s="1"/>
      <c r="G320" s="1">
        <v>0</v>
      </c>
      <c r="H320" s="1">
        <v>0</v>
      </c>
      <c r="I320" s="1">
        <v>0</v>
      </c>
      <c r="J320" s="1"/>
      <c r="K320" s="1"/>
      <c r="L320" s="1"/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</row>
    <row r="321" spans="3:18" x14ac:dyDescent="0.2">
      <c r="C321" s="1" t="s">
        <v>50</v>
      </c>
      <c r="D321" s="1" t="s">
        <v>75</v>
      </c>
      <c r="E321" s="1">
        <v>0</v>
      </c>
      <c r="F321" s="1"/>
      <c r="G321" s="1">
        <v>0</v>
      </c>
      <c r="H321" s="1">
        <v>0</v>
      </c>
      <c r="I321" s="1">
        <v>0</v>
      </c>
      <c r="J321" s="1"/>
      <c r="K321" s="1"/>
      <c r="L321" s="1"/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</row>
    <row r="322" spans="3:18" x14ac:dyDescent="0.2">
      <c r="C322" s="1" t="s">
        <v>51</v>
      </c>
      <c r="D322" s="1" t="s">
        <v>75</v>
      </c>
      <c r="E322" s="1">
        <v>0</v>
      </c>
      <c r="F322" s="1"/>
      <c r="G322" s="1">
        <v>0</v>
      </c>
      <c r="H322" s="1">
        <v>0</v>
      </c>
      <c r="I322" s="1">
        <v>0</v>
      </c>
      <c r="J322" s="1"/>
      <c r="K322" s="1"/>
      <c r="L322" s="1"/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3:18" x14ac:dyDescent="0.2">
      <c r="C323" s="1" t="s">
        <v>52</v>
      </c>
      <c r="D323" s="1" t="s">
        <v>75</v>
      </c>
      <c r="E323" s="1">
        <v>0</v>
      </c>
      <c r="F323" s="1"/>
      <c r="G323" s="1">
        <v>0</v>
      </c>
      <c r="H323" s="1">
        <v>0</v>
      </c>
      <c r="I323" s="1">
        <v>0</v>
      </c>
      <c r="J323" s="1"/>
      <c r="K323" s="1"/>
      <c r="L323" s="1"/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</row>
    <row r="324" spans="3:18" x14ac:dyDescent="0.2">
      <c r="C324" s="1" t="s">
        <v>53</v>
      </c>
      <c r="D324" s="1" t="s">
        <v>75</v>
      </c>
      <c r="E324" s="1">
        <v>0</v>
      </c>
      <c r="F324" s="1"/>
      <c r="G324" s="1">
        <v>0</v>
      </c>
      <c r="H324" s="1">
        <v>0</v>
      </c>
      <c r="I324" s="1">
        <v>0</v>
      </c>
      <c r="J324" s="1"/>
      <c r="K324" s="1"/>
      <c r="L324" s="1"/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</row>
    <row r="325" spans="3:18" x14ac:dyDescent="0.2">
      <c r="C325" s="1" t="s">
        <v>54</v>
      </c>
      <c r="D325" s="1" t="s">
        <v>75</v>
      </c>
      <c r="E325" s="1">
        <v>0</v>
      </c>
      <c r="F325" s="1"/>
      <c r="G325" s="1">
        <v>0</v>
      </c>
      <c r="H325" s="1">
        <v>0</v>
      </c>
      <c r="I325" s="1">
        <v>0</v>
      </c>
      <c r="J325" s="1"/>
      <c r="K325" s="1"/>
      <c r="L325" s="1"/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</row>
    <row r="326" spans="3:18" x14ac:dyDescent="0.2">
      <c r="C326" s="1" t="s">
        <v>55</v>
      </c>
      <c r="D326" s="1" t="s">
        <v>75</v>
      </c>
      <c r="E326" s="1">
        <v>0</v>
      </c>
      <c r="F326" s="1"/>
      <c r="G326" s="1">
        <v>0</v>
      </c>
      <c r="H326" s="1">
        <v>0</v>
      </c>
      <c r="I326" s="1">
        <v>0</v>
      </c>
      <c r="J326" s="1"/>
      <c r="K326" s="1"/>
      <c r="L326" s="1"/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3:18" x14ac:dyDescent="0.2">
      <c r="C327" s="1" t="s">
        <v>56</v>
      </c>
      <c r="D327" s="1" t="s">
        <v>75</v>
      </c>
      <c r="E327" s="1">
        <v>0</v>
      </c>
      <c r="F327" s="1"/>
      <c r="G327" s="1">
        <v>0</v>
      </c>
      <c r="H327" s="1">
        <v>0</v>
      </c>
      <c r="I327" s="1">
        <v>0</v>
      </c>
      <c r="J327" s="1"/>
      <c r="K327" s="1"/>
      <c r="L327" s="1"/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</row>
    <row r="328" spans="3:18" x14ac:dyDescent="0.2">
      <c r="C328" s="1" t="s">
        <v>57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3:18" x14ac:dyDescent="0.2">
      <c r="C329" s="1" t="s">
        <v>27</v>
      </c>
      <c r="D329" s="1"/>
      <c r="E329" s="1">
        <v>0.45812660018211998</v>
      </c>
      <c r="F329" s="1"/>
      <c r="G329" s="1">
        <v>0.36731047812862999</v>
      </c>
      <c r="H329" s="1">
        <v>0</v>
      </c>
      <c r="I329" s="1">
        <v>0.673676450832143</v>
      </c>
      <c r="J329" s="1"/>
      <c r="K329" s="1"/>
      <c r="L329" s="1"/>
      <c r="M329" s="1">
        <v>0</v>
      </c>
      <c r="N329" s="1">
        <v>0.60935673716877803</v>
      </c>
      <c r="O329" s="1">
        <v>0.31714663924230002</v>
      </c>
      <c r="P329" s="1">
        <v>0.31714663924230002</v>
      </c>
      <c r="Q329" s="1">
        <v>0.60360357384375296</v>
      </c>
      <c r="R329" s="1">
        <v>0.60935673716877803</v>
      </c>
    </row>
    <row r="330" spans="3:18" x14ac:dyDescent="0.2">
      <c r="C330" s="1" t="s">
        <v>28</v>
      </c>
      <c r="D330" s="1"/>
      <c r="E330" s="1">
        <v>0.42059664462197999</v>
      </c>
      <c r="F330" s="1"/>
      <c r="G330" s="1">
        <v>0.63268952187136995</v>
      </c>
      <c r="H330" s="1">
        <v>0</v>
      </c>
      <c r="I330" s="1">
        <v>0</v>
      </c>
      <c r="J330" s="1"/>
      <c r="K330" s="1"/>
      <c r="L330" s="1"/>
      <c r="M330" s="1">
        <v>0.17414392142938001</v>
      </c>
      <c r="N330" s="1">
        <v>1.6626508390960599E-2</v>
      </c>
      <c r="O330" s="1">
        <v>0.54628268860616003</v>
      </c>
      <c r="P330" s="1">
        <v>0.54628268860616003</v>
      </c>
      <c r="Q330" s="1">
        <v>1.6902658767640601E-2</v>
      </c>
      <c r="R330" s="1">
        <v>1.6626508390960599E-2</v>
      </c>
    </row>
    <row r="331" spans="3:18" x14ac:dyDescent="0.2">
      <c r="C331" s="1" t="s">
        <v>29</v>
      </c>
      <c r="D331" s="1"/>
      <c r="E331" s="1">
        <v>0.1212767551959</v>
      </c>
      <c r="F331" s="1"/>
      <c r="G331" s="1">
        <v>0</v>
      </c>
      <c r="H331" s="1">
        <v>0</v>
      </c>
      <c r="I331" s="1">
        <v>0</v>
      </c>
      <c r="J331" s="1"/>
      <c r="K331" s="1"/>
      <c r="L331" s="1"/>
      <c r="M331" s="1">
        <v>0.82585607857062004</v>
      </c>
      <c r="N331" s="1">
        <v>7.8849166295181405E-2</v>
      </c>
      <c r="O331" s="1">
        <v>0</v>
      </c>
      <c r="P331" s="1">
        <v>0</v>
      </c>
      <c r="Q331" s="1">
        <v>7.9418578456806097E-2</v>
      </c>
      <c r="R331" s="1">
        <v>7.8849166295181405E-2</v>
      </c>
    </row>
    <row r="332" spans="3:18" x14ac:dyDescent="0.2">
      <c r="C332" s="1" t="s">
        <v>30</v>
      </c>
      <c r="D332" s="1"/>
      <c r="E332" s="1">
        <v>0</v>
      </c>
      <c r="F332" s="1"/>
      <c r="G332" s="1">
        <v>0</v>
      </c>
      <c r="H332" s="1">
        <v>0</v>
      </c>
      <c r="I332" s="1">
        <v>0</v>
      </c>
      <c r="J332" s="1"/>
      <c r="K332" s="1"/>
      <c r="L332" s="1"/>
      <c r="M332" s="1">
        <v>0</v>
      </c>
      <c r="N332" s="1">
        <v>0</v>
      </c>
      <c r="O332" s="1">
        <v>0</v>
      </c>
      <c r="P332" s="1">
        <v>0</v>
      </c>
      <c r="Q332" s="1">
        <v>5.1499092663725301E-6</v>
      </c>
      <c r="R332" s="1">
        <v>0</v>
      </c>
    </row>
    <row r="333" spans="3:18" x14ac:dyDescent="0.2">
      <c r="C333" s="1" t="s">
        <v>31</v>
      </c>
      <c r="D333" s="1"/>
      <c r="E333" s="1">
        <v>0</v>
      </c>
      <c r="F333" s="1"/>
      <c r="G333" s="1">
        <v>0</v>
      </c>
      <c r="H333" s="1">
        <v>0</v>
      </c>
      <c r="I333" s="1">
        <v>0</v>
      </c>
      <c r="J333" s="1"/>
      <c r="K333" s="1"/>
      <c r="L333" s="1"/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</row>
    <row r="334" spans="3:18" x14ac:dyDescent="0.2">
      <c r="C334" s="1" t="s">
        <v>32</v>
      </c>
      <c r="D334" s="1"/>
      <c r="E334" s="1">
        <v>0</v>
      </c>
      <c r="F334" s="1"/>
      <c r="G334" s="1">
        <v>0</v>
      </c>
      <c r="H334" s="1">
        <v>1</v>
      </c>
      <c r="I334" s="1">
        <v>0.326323549167857</v>
      </c>
      <c r="J334" s="1"/>
      <c r="K334" s="1"/>
      <c r="L334" s="1"/>
      <c r="M334" s="1">
        <v>0</v>
      </c>
      <c r="N334" s="1">
        <v>0.29516758814507998</v>
      </c>
      <c r="O334" s="1">
        <v>0.13657067215154001</v>
      </c>
      <c r="P334" s="1">
        <v>0.13657067215154001</v>
      </c>
      <c r="Q334" s="1">
        <v>7.5298474211646996E-2</v>
      </c>
      <c r="R334" s="1">
        <v>7.4068271182473194E-2</v>
      </c>
    </row>
    <row r="335" spans="3:18" x14ac:dyDescent="0.2">
      <c r="C335" s="1" t="s">
        <v>33</v>
      </c>
      <c r="D335" s="1"/>
      <c r="E335" s="1">
        <v>0</v>
      </c>
      <c r="F335" s="1"/>
      <c r="G335" s="1">
        <v>0</v>
      </c>
      <c r="H335" s="1">
        <v>0</v>
      </c>
      <c r="I335" s="1">
        <v>0</v>
      </c>
      <c r="J335" s="1"/>
      <c r="K335" s="1"/>
      <c r="L335" s="1"/>
      <c r="M335" s="1">
        <v>0</v>
      </c>
      <c r="N335" s="1">
        <v>0</v>
      </c>
      <c r="O335" s="1">
        <v>0</v>
      </c>
      <c r="P335" s="1">
        <v>0</v>
      </c>
      <c r="Q335" s="1">
        <v>0.157340095367621</v>
      </c>
      <c r="R335" s="1">
        <v>0.15476952187382501</v>
      </c>
    </row>
    <row r="336" spans="3:18" x14ac:dyDescent="0.2">
      <c r="C336" s="1" t="s">
        <v>34</v>
      </c>
      <c r="D336" s="1"/>
      <c r="E336" s="1">
        <v>0</v>
      </c>
      <c r="F336" s="1"/>
      <c r="G336" s="1">
        <v>0</v>
      </c>
      <c r="H336" s="1">
        <v>0</v>
      </c>
      <c r="I336" s="1">
        <v>0</v>
      </c>
      <c r="J336" s="1"/>
      <c r="K336" s="1"/>
      <c r="L336" s="1"/>
      <c r="M336" s="1">
        <v>0</v>
      </c>
      <c r="N336" s="1">
        <v>0</v>
      </c>
      <c r="O336" s="1">
        <v>0</v>
      </c>
      <c r="P336" s="1">
        <v>0</v>
      </c>
      <c r="Q336" s="1">
        <v>3.3715734721633001E-2</v>
      </c>
      <c r="R336" s="1">
        <v>3.3164897544391003E-2</v>
      </c>
    </row>
    <row r="337" spans="3:18" x14ac:dyDescent="0.2">
      <c r="C337" s="1" t="s">
        <v>35</v>
      </c>
      <c r="D337" s="1"/>
      <c r="E337" s="1">
        <v>0</v>
      </c>
      <c r="F337" s="1"/>
      <c r="G337" s="1">
        <v>0</v>
      </c>
      <c r="H337" s="1">
        <v>0</v>
      </c>
      <c r="I337" s="1">
        <v>0</v>
      </c>
      <c r="J337" s="1"/>
      <c r="K337" s="1"/>
      <c r="L337" s="1"/>
      <c r="M337" s="1">
        <v>0</v>
      </c>
      <c r="N337" s="1">
        <v>0</v>
      </c>
      <c r="O337" s="1">
        <v>0</v>
      </c>
      <c r="P337" s="1">
        <v>0</v>
      </c>
      <c r="Q337" s="1">
        <v>3.3715734721633001E-2</v>
      </c>
      <c r="R337" s="1">
        <v>3.3164897544391003E-2</v>
      </c>
    </row>
    <row r="338" spans="3:18" x14ac:dyDescent="0.2">
      <c r="C338" s="1" t="s">
        <v>36</v>
      </c>
      <c r="D338" s="1"/>
      <c r="E338" s="1">
        <v>0</v>
      </c>
      <c r="F338" s="1"/>
      <c r="G338" s="1">
        <v>0</v>
      </c>
      <c r="H338" s="1">
        <v>0</v>
      </c>
      <c r="I338" s="1">
        <v>0</v>
      </c>
      <c r="J338" s="1"/>
      <c r="K338" s="1"/>
      <c r="L338" s="1"/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</row>
    <row r="339" spans="3:18" x14ac:dyDescent="0.2">
      <c r="C339" s="1" t="s">
        <v>37</v>
      </c>
      <c r="D339" s="1"/>
      <c r="E339" s="1">
        <v>0</v>
      </c>
      <c r="F339" s="1"/>
      <c r="G339" s="1">
        <v>0</v>
      </c>
      <c r="H339" s="1">
        <v>0</v>
      </c>
      <c r="I339" s="1">
        <v>0</v>
      </c>
      <c r="J339" s="1"/>
      <c r="K339" s="1"/>
      <c r="L339" s="1"/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</row>
    <row r="340" spans="3:18" x14ac:dyDescent="0.2">
      <c r="C340" s="1" t="s">
        <v>38</v>
      </c>
      <c r="D340" s="1"/>
      <c r="E340" s="1">
        <v>0</v>
      </c>
      <c r="F340" s="1"/>
      <c r="G340" s="1">
        <v>0</v>
      </c>
      <c r="H340" s="1">
        <v>0</v>
      </c>
      <c r="I340" s="1">
        <v>0</v>
      </c>
      <c r="J340" s="1"/>
      <c r="K340" s="1"/>
      <c r="L340" s="1"/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</row>
    <row r="341" spans="3:18" x14ac:dyDescent="0.2">
      <c r="C341" s="1" t="s">
        <v>39</v>
      </c>
      <c r="D341" s="1"/>
      <c r="E341" s="1">
        <v>0</v>
      </c>
      <c r="F341" s="1"/>
      <c r="G341" s="1">
        <v>0</v>
      </c>
      <c r="H341" s="1">
        <v>0</v>
      </c>
      <c r="I341" s="1">
        <v>0</v>
      </c>
      <c r="J341" s="1"/>
      <c r="K341" s="1"/>
      <c r="L341" s="1"/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</row>
    <row r="342" spans="3:18" x14ac:dyDescent="0.2">
      <c r="C342" s="1" t="s">
        <v>40</v>
      </c>
      <c r="D342" s="1"/>
      <c r="E342" s="1">
        <v>0</v>
      </c>
      <c r="F342" s="1"/>
      <c r="G342" s="1">
        <v>0</v>
      </c>
      <c r="H342" s="1">
        <v>0</v>
      </c>
      <c r="I342" s="1">
        <v>0</v>
      </c>
      <c r="J342" s="1"/>
      <c r="K342" s="1"/>
      <c r="L342" s="1"/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</row>
    <row r="343" spans="3:18" x14ac:dyDescent="0.2">
      <c r="C343" s="1" t="s">
        <v>41</v>
      </c>
      <c r="D343" s="1"/>
      <c r="E343" s="1">
        <v>0</v>
      </c>
      <c r="F343" s="1"/>
      <c r="G343" s="1">
        <v>0</v>
      </c>
      <c r="H343" s="1">
        <v>0</v>
      </c>
      <c r="I343" s="1">
        <v>0</v>
      </c>
      <c r="J343" s="1"/>
      <c r="K343" s="1"/>
      <c r="L343" s="1"/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</row>
    <row r="344" spans="3:18" x14ac:dyDescent="0.2">
      <c r="C344" s="1" t="s">
        <v>42</v>
      </c>
      <c r="D344" s="1"/>
      <c r="E344" s="1">
        <v>0</v>
      </c>
      <c r="F344" s="1"/>
      <c r="G344" s="1">
        <v>0</v>
      </c>
      <c r="H344" s="1">
        <v>0</v>
      </c>
      <c r="I344" s="1">
        <v>0</v>
      </c>
      <c r="J344" s="1"/>
      <c r="K344" s="1"/>
      <c r="L344" s="1"/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3:18" x14ac:dyDescent="0.2">
      <c r="C345" s="1" t="s">
        <v>43</v>
      </c>
      <c r="D345" s="1"/>
      <c r="E345" s="1">
        <v>0</v>
      </c>
      <c r="F345" s="1"/>
      <c r="G345" s="1">
        <v>0</v>
      </c>
      <c r="H345" s="1">
        <v>0</v>
      </c>
      <c r="I345" s="1">
        <v>0</v>
      </c>
      <c r="J345" s="1"/>
      <c r="K345" s="1"/>
      <c r="L345" s="1"/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</row>
    <row r="346" spans="3:18" x14ac:dyDescent="0.2">
      <c r="C346" s="1" t="s">
        <v>44</v>
      </c>
      <c r="D346" s="1"/>
      <c r="E346" s="1">
        <v>0</v>
      </c>
      <c r="F346" s="1"/>
      <c r="G346" s="1">
        <v>0</v>
      </c>
      <c r="H346" s="1">
        <v>0</v>
      </c>
      <c r="I346" s="1">
        <v>0</v>
      </c>
      <c r="J346" s="1"/>
      <c r="K346" s="1"/>
      <c r="L346" s="1"/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</row>
    <row r="347" spans="3:18" x14ac:dyDescent="0.2">
      <c r="C347" s="1" t="s">
        <v>45</v>
      </c>
      <c r="D347" s="1"/>
      <c r="E347" s="1">
        <v>0</v>
      </c>
      <c r="F347" s="1"/>
      <c r="G347" s="1">
        <v>0</v>
      </c>
      <c r="H347" s="1">
        <v>0</v>
      </c>
      <c r="I347" s="1">
        <v>0</v>
      </c>
      <c r="J347" s="1"/>
      <c r="K347" s="1"/>
      <c r="L347" s="1"/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</row>
    <row r="348" spans="3:18" x14ac:dyDescent="0.2">
      <c r="C348" s="1" t="s">
        <v>46</v>
      </c>
      <c r="D348" s="1"/>
      <c r="E348" s="1">
        <v>0</v>
      </c>
      <c r="F348" s="1"/>
      <c r="G348" s="1">
        <v>0</v>
      </c>
      <c r="H348" s="1">
        <v>0</v>
      </c>
      <c r="I348" s="1">
        <v>0</v>
      </c>
      <c r="J348" s="1"/>
      <c r="K348" s="1"/>
      <c r="L348" s="1"/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</row>
    <row r="349" spans="3:18" x14ac:dyDescent="0.2">
      <c r="C349" s="1" t="s">
        <v>47</v>
      </c>
      <c r="D349" s="1"/>
      <c r="E349" s="1">
        <v>0</v>
      </c>
      <c r="F349" s="1"/>
      <c r="G349" s="1">
        <v>0</v>
      </c>
      <c r="H349" s="1">
        <v>0</v>
      </c>
      <c r="I349" s="1">
        <v>0</v>
      </c>
      <c r="J349" s="1"/>
      <c r="K349" s="1"/>
      <c r="L349" s="1"/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</row>
    <row r="350" spans="3:18" x14ac:dyDescent="0.2">
      <c r="C350" s="1" t="s">
        <v>48</v>
      </c>
      <c r="D350" s="1"/>
      <c r="E350" s="1">
        <v>0</v>
      </c>
      <c r="F350" s="1"/>
      <c r="G350" s="1">
        <v>0</v>
      </c>
      <c r="H350" s="1">
        <v>0</v>
      </c>
      <c r="I350" s="1">
        <v>0</v>
      </c>
      <c r="J350" s="1"/>
      <c r="K350" s="1"/>
      <c r="L350" s="1"/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</row>
    <row r="351" spans="3:18" x14ac:dyDescent="0.2">
      <c r="C351" s="1" t="s">
        <v>49</v>
      </c>
      <c r="D351" s="1"/>
      <c r="E351" s="1">
        <v>0</v>
      </c>
      <c r="F351" s="1"/>
      <c r="G351" s="1">
        <v>0</v>
      </c>
      <c r="H351" s="1">
        <v>0</v>
      </c>
      <c r="I351" s="1">
        <v>0</v>
      </c>
      <c r="J351" s="1"/>
      <c r="K351" s="1"/>
      <c r="L351" s="1"/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</row>
    <row r="352" spans="3:18" x14ac:dyDescent="0.2">
      <c r="C352" s="1" t="s">
        <v>50</v>
      </c>
      <c r="D352" s="1"/>
      <c r="E352" s="1">
        <v>0</v>
      </c>
      <c r="F352" s="1"/>
      <c r="G352" s="1">
        <v>0</v>
      </c>
      <c r="H352" s="1">
        <v>0</v>
      </c>
      <c r="I352" s="1">
        <v>0</v>
      </c>
      <c r="J352" s="1"/>
      <c r="K352" s="1"/>
      <c r="L352" s="1"/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</row>
    <row r="353" spans="3:18" x14ac:dyDescent="0.2">
      <c r="C353" s="1" t="s">
        <v>51</v>
      </c>
      <c r="D353" s="1"/>
      <c r="E353" s="1">
        <v>0</v>
      </c>
      <c r="F353" s="1"/>
      <c r="G353" s="1">
        <v>0</v>
      </c>
      <c r="H353" s="1">
        <v>0</v>
      </c>
      <c r="I353" s="1">
        <v>0</v>
      </c>
      <c r="J353" s="1"/>
      <c r="K353" s="1"/>
      <c r="L353" s="1"/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</row>
    <row r="354" spans="3:18" x14ac:dyDescent="0.2">
      <c r="C354" s="1" t="s">
        <v>52</v>
      </c>
      <c r="D354" s="1"/>
      <c r="E354" s="1">
        <v>0</v>
      </c>
      <c r="F354" s="1"/>
      <c r="G354" s="1">
        <v>0</v>
      </c>
      <c r="H354" s="1">
        <v>0</v>
      </c>
      <c r="I354" s="1">
        <v>0</v>
      </c>
      <c r="J354" s="1"/>
      <c r="K354" s="1"/>
      <c r="L354" s="1"/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</row>
    <row r="355" spans="3:18" x14ac:dyDescent="0.2">
      <c r="C355" s="1" t="s">
        <v>53</v>
      </c>
      <c r="D355" s="1"/>
      <c r="E355" s="1">
        <v>0</v>
      </c>
      <c r="F355" s="1"/>
      <c r="G355" s="1">
        <v>0</v>
      </c>
      <c r="H355" s="1">
        <v>0</v>
      </c>
      <c r="I355" s="1">
        <v>0</v>
      </c>
      <c r="J355" s="1"/>
      <c r="K355" s="1"/>
      <c r="L355" s="1"/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</row>
    <row r="356" spans="3:18" x14ac:dyDescent="0.2">
      <c r="C356" s="1" t="s">
        <v>54</v>
      </c>
      <c r="D356" s="1"/>
      <c r="E356" s="1">
        <v>0</v>
      </c>
      <c r="F356" s="1"/>
      <c r="G356" s="1">
        <v>0</v>
      </c>
      <c r="H356" s="1">
        <v>0</v>
      </c>
      <c r="I356" s="1">
        <v>0</v>
      </c>
      <c r="J356" s="1"/>
      <c r="K356" s="1"/>
      <c r="L356" s="1"/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</row>
    <row r="357" spans="3:18" x14ac:dyDescent="0.2">
      <c r="C357" s="1" t="s">
        <v>55</v>
      </c>
      <c r="D357" s="1"/>
      <c r="E357" s="1">
        <v>0</v>
      </c>
      <c r="F357" s="1"/>
      <c r="G357" s="1">
        <v>0</v>
      </c>
      <c r="H357" s="1">
        <v>0</v>
      </c>
      <c r="I357" s="1">
        <v>0</v>
      </c>
      <c r="J357" s="1"/>
      <c r="K357" s="1"/>
      <c r="L357" s="1"/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</row>
    <row r="358" spans="3:18" x14ac:dyDescent="0.2">
      <c r="C358" s="1" t="s">
        <v>56</v>
      </c>
      <c r="D358" s="1"/>
      <c r="E358" s="1">
        <v>0</v>
      </c>
      <c r="F358" s="1"/>
      <c r="G358" s="1">
        <v>0</v>
      </c>
      <c r="H358" s="1">
        <v>0</v>
      </c>
      <c r="I358" s="1">
        <v>0</v>
      </c>
      <c r="J358" s="1"/>
      <c r="K358" s="1"/>
      <c r="L358" s="1"/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</row>
    <row r="359" spans="3:18" x14ac:dyDescent="0.2">
      <c r="C359" s="1" t="s">
        <v>58</v>
      </c>
      <c r="D359" s="1" t="s">
        <v>76</v>
      </c>
      <c r="E359" s="1">
        <v>185.00000000000023</v>
      </c>
      <c r="F359" s="1"/>
      <c r="G359" s="1">
        <v>119.26159760230688</v>
      </c>
      <c r="H359" s="1">
        <v>30.201977059526318</v>
      </c>
      <c r="I359" s="1">
        <v>202.09230852976353</v>
      </c>
      <c r="J359" s="1"/>
      <c r="K359" s="1"/>
      <c r="L359" s="1"/>
      <c r="M359" s="1">
        <v>20.06841095756948</v>
      </c>
      <c r="N359" s="1">
        <v>222.16071948733313</v>
      </c>
      <c r="O359" s="1">
        <v>149.46357466183349</v>
      </c>
      <c r="P359" s="1">
        <v>149.46357466183349</v>
      </c>
      <c r="Q359" s="1">
        <v>266.29585769066102</v>
      </c>
      <c r="R359" s="1">
        <v>267.71932485551025</v>
      </c>
    </row>
    <row r="360" spans="3:18" x14ac:dyDescent="0.2">
      <c r="C360" s="1" t="s">
        <v>27</v>
      </c>
      <c r="D360" s="1" t="s">
        <v>76</v>
      </c>
      <c r="E360" s="1">
        <v>28.470000000000059</v>
      </c>
      <c r="F360" s="1"/>
      <c r="G360" s="1">
        <v>11.492147802760028</v>
      </c>
      <c r="H360" s="1">
        <v>0</v>
      </c>
      <c r="I360" s="1">
        <v>51.082423232131902</v>
      </c>
      <c r="J360" s="1"/>
      <c r="K360" s="1"/>
      <c r="L360" s="1"/>
      <c r="M360" s="1">
        <v>0</v>
      </c>
      <c r="N360" s="1">
        <v>51.082423232131916</v>
      </c>
      <c r="O360" s="1">
        <v>11.492147802760048</v>
      </c>
      <c r="P360" s="1">
        <v>11.492147802760048</v>
      </c>
      <c r="Q360" s="1">
        <v>49.773445843823637</v>
      </c>
      <c r="R360" s="1">
        <v>51.082423232131958</v>
      </c>
    </row>
    <row r="361" spans="3:18" x14ac:dyDescent="0.2">
      <c r="C361" s="1" t="s">
        <v>28</v>
      </c>
      <c r="D361" s="1" t="s">
        <v>76</v>
      </c>
      <c r="E361" s="1">
        <v>142.30000000000015</v>
      </c>
      <c r="F361" s="1"/>
      <c r="G361" s="1">
        <v>107.76944979954686</v>
      </c>
      <c r="H361" s="1">
        <v>0</v>
      </c>
      <c r="I361" s="1">
        <v>0</v>
      </c>
      <c r="J361" s="1"/>
      <c r="K361" s="1"/>
      <c r="L361" s="1"/>
      <c r="M361" s="1">
        <v>7.5881877505663802</v>
      </c>
      <c r="N361" s="1">
        <v>7.5881877505663855</v>
      </c>
      <c r="O361" s="1">
        <v>107.76944979954706</v>
      </c>
      <c r="P361" s="1">
        <v>107.76944979954706</v>
      </c>
      <c r="Q361" s="1">
        <v>7.5881877505660009</v>
      </c>
      <c r="R361" s="1">
        <v>7.588187750566382</v>
      </c>
    </row>
    <row r="362" spans="3:18" x14ac:dyDescent="0.2">
      <c r="C362" s="1" t="s">
        <v>29</v>
      </c>
      <c r="D362" s="1" t="s">
        <v>76</v>
      </c>
      <c r="E362" s="1">
        <v>14.230000000000015</v>
      </c>
      <c r="F362" s="1"/>
      <c r="G362" s="1">
        <v>0</v>
      </c>
      <c r="H362" s="1">
        <v>0</v>
      </c>
      <c r="I362" s="1">
        <v>0</v>
      </c>
      <c r="J362" s="1"/>
      <c r="K362" s="1"/>
      <c r="L362" s="1"/>
      <c r="M362" s="1">
        <v>12.4802232070031</v>
      </c>
      <c r="N362" s="1">
        <v>12.480223207003123</v>
      </c>
      <c r="O362" s="1">
        <v>0</v>
      </c>
      <c r="P362" s="1">
        <v>0</v>
      </c>
      <c r="Q362" s="1">
        <v>12.364979140795086</v>
      </c>
      <c r="R362" s="1">
        <v>12.480223207003098</v>
      </c>
    </row>
    <row r="363" spans="3:18" x14ac:dyDescent="0.2">
      <c r="C363" s="1" t="s">
        <v>30</v>
      </c>
      <c r="D363" s="1" t="s">
        <v>76</v>
      </c>
      <c r="E363" s="1">
        <v>0</v>
      </c>
      <c r="F363" s="1"/>
      <c r="G363" s="1">
        <v>0</v>
      </c>
      <c r="H363" s="1">
        <v>0</v>
      </c>
      <c r="I363" s="1">
        <v>0</v>
      </c>
      <c r="J363" s="1"/>
      <c r="K363" s="1"/>
      <c r="L363" s="1"/>
      <c r="M363" s="1">
        <v>0</v>
      </c>
      <c r="N363" s="1">
        <v>0</v>
      </c>
      <c r="O363" s="1">
        <v>0</v>
      </c>
      <c r="P363" s="1">
        <v>0</v>
      </c>
      <c r="Q363" s="1">
        <v>7.5428966763363176E-4</v>
      </c>
      <c r="R363" s="1">
        <v>0</v>
      </c>
    </row>
    <row r="364" spans="3:18" x14ac:dyDescent="0.2">
      <c r="C364" s="1" t="s">
        <v>31</v>
      </c>
      <c r="D364" s="1" t="s">
        <v>76</v>
      </c>
      <c r="E364" s="1">
        <v>0</v>
      </c>
      <c r="F364" s="1"/>
      <c r="G364" s="1">
        <v>0</v>
      </c>
      <c r="H364" s="1">
        <v>0</v>
      </c>
      <c r="I364" s="1">
        <v>0</v>
      </c>
      <c r="J364" s="1"/>
      <c r="K364" s="1"/>
      <c r="L364" s="1"/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</row>
    <row r="365" spans="3:18" x14ac:dyDescent="0.2">
      <c r="C365" s="1" t="s">
        <v>32</v>
      </c>
      <c r="D365" s="1" t="s">
        <v>76</v>
      </c>
      <c r="E365" s="1">
        <v>0</v>
      </c>
      <c r="F365" s="1"/>
      <c r="G365" s="1">
        <v>0</v>
      </c>
      <c r="H365" s="1">
        <v>30.201977059526318</v>
      </c>
      <c r="I365" s="1">
        <v>151.00988529763166</v>
      </c>
      <c r="J365" s="1"/>
      <c r="K365" s="1"/>
      <c r="L365" s="1"/>
      <c r="M365" s="1">
        <v>0</v>
      </c>
      <c r="N365" s="1">
        <v>151.00988529763168</v>
      </c>
      <c r="O365" s="1">
        <v>30.201977059526381</v>
      </c>
      <c r="P365" s="1">
        <v>30.201977059526381</v>
      </c>
      <c r="Q365" s="1">
        <v>37.893866348094697</v>
      </c>
      <c r="R365" s="1">
        <v>37.893866348094882</v>
      </c>
    </row>
    <row r="366" spans="3:18" x14ac:dyDescent="0.2">
      <c r="C366" s="1" t="s">
        <v>33</v>
      </c>
      <c r="D366" s="1" t="s">
        <v>76</v>
      </c>
      <c r="E366" s="1">
        <v>0</v>
      </c>
      <c r="F366" s="1"/>
      <c r="G366" s="1">
        <v>0</v>
      </c>
      <c r="H366" s="1">
        <v>0</v>
      </c>
      <c r="I366" s="1">
        <v>0</v>
      </c>
      <c r="J366" s="1"/>
      <c r="K366" s="1"/>
      <c r="L366" s="1"/>
      <c r="M366" s="1">
        <v>0</v>
      </c>
      <c r="N366" s="1">
        <v>0</v>
      </c>
      <c r="O366" s="1">
        <v>0</v>
      </c>
      <c r="P366" s="1">
        <v>0</v>
      </c>
      <c r="Q366" s="1">
        <v>111.45127958805372</v>
      </c>
      <c r="R366" s="1">
        <v>111.45127958805371</v>
      </c>
    </row>
    <row r="367" spans="3:18" x14ac:dyDescent="0.2">
      <c r="C367" s="1" t="s">
        <v>34</v>
      </c>
      <c r="D367" s="1" t="s">
        <v>76</v>
      </c>
      <c r="E367" s="1">
        <v>0</v>
      </c>
      <c r="F367" s="1"/>
      <c r="G367" s="1">
        <v>0</v>
      </c>
      <c r="H367" s="1">
        <v>0</v>
      </c>
      <c r="I367" s="1">
        <v>0</v>
      </c>
      <c r="J367" s="1"/>
      <c r="K367" s="1"/>
      <c r="L367" s="1"/>
      <c r="M367" s="1">
        <v>0</v>
      </c>
      <c r="N367" s="1">
        <v>0</v>
      </c>
      <c r="O367" s="1">
        <v>0</v>
      </c>
      <c r="P367" s="1">
        <v>0</v>
      </c>
      <c r="Q367" s="1">
        <v>23.919949001029934</v>
      </c>
      <c r="R367" s="1">
        <v>23.919949001029892</v>
      </c>
    </row>
    <row r="368" spans="3:18" x14ac:dyDescent="0.2">
      <c r="C368" s="1" t="s">
        <v>35</v>
      </c>
      <c r="D368" s="1" t="s">
        <v>76</v>
      </c>
      <c r="E368" s="1">
        <v>0</v>
      </c>
      <c r="F368" s="1"/>
      <c r="G368" s="1">
        <v>0</v>
      </c>
      <c r="H368" s="1">
        <v>0</v>
      </c>
      <c r="I368" s="1">
        <v>0</v>
      </c>
      <c r="J368" s="1"/>
      <c r="K368" s="1"/>
      <c r="L368" s="1"/>
      <c r="M368" s="1">
        <v>0</v>
      </c>
      <c r="N368" s="1">
        <v>0</v>
      </c>
      <c r="O368" s="1">
        <v>0</v>
      </c>
      <c r="P368" s="1">
        <v>0</v>
      </c>
      <c r="Q368" s="1">
        <v>23.303395728630328</v>
      </c>
      <c r="R368" s="1">
        <v>23.303395728630296</v>
      </c>
    </row>
    <row r="369" spans="3:18" x14ac:dyDescent="0.2">
      <c r="C369" s="1" t="s">
        <v>36</v>
      </c>
      <c r="D369" s="1" t="s">
        <v>76</v>
      </c>
      <c r="E369" s="1">
        <v>0</v>
      </c>
      <c r="F369" s="1"/>
      <c r="G369" s="1">
        <v>0</v>
      </c>
      <c r="H369" s="1">
        <v>0</v>
      </c>
      <c r="I369" s="1">
        <v>0</v>
      </c>
      <c r="J369" s="1"/>
      <c r="K369" s="1"/>
      <c r="L369" s="1"/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</row>
    <row r="370" spans="3:18" x14ac:dyDescent="0.2">
      <c r="C370" s="1" t="s">
        <v>37</v>
      </c>
      <c r="D370" s="1" t="s">
        <v>76</v>
      </c>
      <c r="E370" s="1">
        <v>0</v>
      </c>
      <c r="F370" s="1"/>
      <c r="G370" s="1">
        <v>0</v>
      </c>
      <c r="H370" s="1">
        <v>0</v>
      </c>
      <c r="I370" s="1">
        <v>0</v>
      </c>
      <c r="J370" s="1"/>
      <c r="K370" s="1"/>
      <c r="L370" s="1"/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</row>
    <row r="371" spans="3:18" x14ac:dyDescent="0.2">
      <c r="C371" s="1" t="s">
        <v>38</v>
      </c>
      <c r="D371" s="1" t="s">
        <v>76</v>
      </c>
      <c r="E371" s="1">
        <v>0</v>
      </c>
      <c r="F371" s="1"/>
      <c r="G371" s="1">
        <v>0</v>
      </c>
      <c r="H371" s="1">
        <v>0</v>
      </c>
      <c r="I371" s="1">
        <v>0</v>
      </c>
      <c r="J371" s="1"/>
      <c r="K371" s="1"/>
      <c r="L371" s="1"/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</row>
    <row r="372" spans="3:18" x14ac:dyDescent="0.2">
      <c r="C372" s="1" t="s">
        <v>39</v>
      </c>
      <c r="D372" s="1" t="s">
        <v>76</v>
      </c>
      <c r="E372" s="1">
        <v>0</v>
      </c>
      <c r="F372" s="1"/>
      <c r="G372" s="1">
        <v>0</v>
      </c>
      <c r="H372" s="1">
        <v>0</v>
      </c>
      <c r="I372" s="1">
        <v>0</v>
      </c>
      <c r="J372" s="1"/>
      <c r="K372" s="1"/>
      <c r="L372" s="1"/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</row>
    <row r="373" spans="3:18" x14ac:dyDescent="0.2">
      <c r="C373" s="1" t="s">
        <v>40</v>
      </c>
      <c r="D373" s="1" t="s">
        <v>76</v>
      </c>
      <c r="E373" s="1">
        <v>0</v>
      </c>
      <c r="F373" s="1"/>
      <c r="G373" s="1">
        <v>0</v>
      </c>
      <c r="H373" s="1">
        <v>0</v>
      </c>
      <c r="I373" s="1">
        <v>0</v>
      </c>
      <c r="J373" s="1"/>
      <c r="K373" s="1"/>
      <c r="L373" s="1"/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</row>
    <row r="374" spans="3:18" x14ac:dyDescent="0.2">
      <c r="C374" s="1" t="s">
        <v>41</v>
      </c>
      <c r="D374" s="1" t="s">
        <v>76</v>
      </c>
      <c r="E374" s="1">
        <v>0</v>
      </c>
      <c r="F374" s="1"/>
      <c r="G374" s="1">
        <v>0</v>
      </c>
      <c r="H374" s="1">
        <v>0</v>
      </c>
      <c r="I374" s="1">
        <v>0</v>
      </c>
      <c r="J374" s="1"/>
      <c r="K374" s="1"/>
      <c r="L374" s="1"/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</row>
    <row r="375" spans="3:18" x14ac:dyDescent="0.2">
      <c r="C375" s="1" t="s">
        <v>42</v>
      </c>
      <c r="D375" s="1" t="s">
        <v>76</v>
      </c>
      <c r="E375" s="1">
        <v>0</v>
      </c>
      <c r="F375" s="1"/>
      <c r="G375" s="1">
        <v>0</v>
      </c>
      <c r="H375" s="1">
        <v>0</v>
      </c>
      <c r="I375" s="1">
        <v>0</v>
      </c>
      <c r="J375" s="1"/>
      <c r="K375" s="1"/>
      <c r="L375" s="1"/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</row>
    <row r="376" spans="3:18" x14ac:dyDescent="0.2">
      <c r="C376" s="1" t="s">
        <v>43</v>
      </c>
      <c r="D376" s="1" t="s">
        <v>76</v>
      </c>
      <c r="E376" s="1">
        <v>0</v>
      </c>
      <c r="F376" s="1"/>
      <c r="G376" s="1">
        <v>0</v>
      </c>
      <c r="H376" s="1">
        <v>0</v>
      </c>
      <c r="I376" s="1">
        <v>0</v>
      </c>
      <c r="J376" s="1"/>
      <c r="K376" s="1"/>
      <c r="L376" s="1"/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</row>
    <row r="377" spans="3:18" x14ac:dyDescent="0.2">
      <c r="C377" s="1" t="s">
        <v>44</v>
      </c>
      <c r="D377" s="1" t="s">
        <v>76</v>
      </c>
      <c r="E377" s="1">
        <v>0</v>
      </c>
      <c r="F377" s="1"/>
      <c r="G377" s="1">
        <v>0</v>
      </c>
      <c r="H377" s="1">
        <v>0</v>
      </c>
      <c r="I377" s="1">
        <v>0</v>
      </c>
      <c r="J377" s="1"/>
      <c r="K377" s="1"/>
      <c r="L377" s="1"/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</row>
    <row r="378" spans="3:18" x14ac:dyDescent="0.2">
      <c r="C378" s="1" t="s">
        <v>45</v>
      </c>
      <c r="D378" s="1" t="s">
        <v>76</v>
      </c>
      <c r="E378" s="1">
        <v>0</v>
      </c>
      <c r="F378" s="1"/>
      <c r="G378" s="1">
        <v>0</v>
      </c>
      <c r="H378" s="1">
        <v>0</v>
      </c>
      <c r="I378" s="1">
        <v>0</v>
      </c>
      <c r="J378" s="1"/>
      <c r="K378" s="1"/>
      <c r="L378" s="1"/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</row>
    <row r="379" spans="3:18" x14ac:dyDescent="0.2">
      <c r="C379" s="1" t="s">
        <v>46</v>
      </c>
      <c r="D379" s="1" t="s">
        <v>76</v>
      </c>
      <c r="E379" s="1">
        <v>0</v>
      </c>
      <c r="F379" s="1"/>
      <c r="G379" s="1">
        <v>0</v>
      </c>
      <c r="H379" s="1">
        <v>0</v>
      </c>
      <c r="I379" s="1">
        <v>0</v>
      </c>
      <c r="J379" s="1"/>
      <c r="K379" s="1"/>
      <c r="L379" s="1"/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</row>
    <row r="380" spans="3:18" x14ac:dyDescent="0.2">
      <c r="C380" s="1" t="s">
        <v>47</v>
      </c>
      <c r="D380" s="1" t="s">
        <v>76</v>
      </c>
      <c r="E380" s="1">
        <v>0</v>
      </c>
      <c r="F380" s="1"/>
      <c r="G380" s="1">
        <v>0</v>
      </c>
      <c r="H380" s="1">
        <v>0</v>
      </c>
      <c r="I380" s="1">
        <v>0</v>
      </c>
      <c r="J380" s="1"/>
      <c r="K380" s="1"/>
      <c r="L380" s="1"/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</row>
    <row r="381" spans="3:18" x14ac:dyDescent="0.2">
      <c r="C381" s="1" t="s">
        <v>48</v>
      </c>
      <c r="D381" s="1" t="s">
        <v>76</v>
      </c>
      <c r="E381" s="1">
        <v>0</v>
      </c>
      <c r="F381" s="1"/>
      <c r="G381" s="1">
        <v>0</v>
      </c>
      <c r="H381" s="1">
        <v>0</v>
      </c>
      <c r="I381" s="1">
        <v>0</v>
      </c>
      <c r="J381" s="1"/>
      <c r="K381" s="1"/>
      <c r="L381" s="1"/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</row>
    <row r="382" spans="3:18" x14ac:dyDescent="0.2">
      <c r="C382" s="1" t="s">
        <v>49</v>
      </c>
      <c r="D382" s="1" t="s">
        <v>76</v>
      </c>
      <c r="E382" s="1">
        <v>0</v>
      </c>
      <c r="F382" s="1"/>
      <c r="G382" s="1">
        <v>0</v>
      </c>
      <c r="H382" s="1">
        <v>0</v>
      </c>
      <c r="I382" s="1">
        <v>0</v>
      </c>
      <c r="J382" s="1"/>
      <c r="K382" s="1"/>
      <c r="L382" s="1"/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</row>
    <row r="383" spans="3:18" x14ac:dyDescent="0.2">
      <c r="C383" s="1" t="s">
        <v>50</v>
      </c>
      <c r="D383" s="1" t="s">
        <v>76</v>
      </c>
      <c r="E383" s="1">
        <v>0</v>
      </c>
      <c r="F383" s="1"/>
      <c r="G383" s="1">
        <v>0</v>
      </c>
      <c r="H383" s="1">
        <v>0</v>
      </c>
      <c r="I383" s="1">
        <v>0</v>
      </c>
      <c r="J383" s="1"/>
      <c r="K383" s="1"/>
      <c r="L383" s="1"/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</row>
    <row r="384" spans="3:18" x14ac:dyDescent="0.2">
      <c r="C384" s="1" t="s">
        <v>51</v>
      </c>
      <c r="D384" s="1" t="s">
        <v>76</v>
      </c>
      <c r="E384" s="1">
        <v>0</v>
      </c>
      <c r="F384" s="1"/>
      <c r="G384" s="1">
        <v>0</v>
      </c>
      <c r="H384" s="1">
        <v>0</v>
      </c>
      <c r="I384" s="1">
        <v>0</v>
      </c>
      <c r="J384" s="1"/>
      <c r="K384" s="1"/>
      <c r="L384" s="1"/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</row>
    <row r="385" spans="3:18" x14ac:dyDescent="0.2">
      <c r="C385" s="1" t="s">
        <v>52</v>
      </c>
      <c r="D385" s="1" t="s">
        <v>76</v>
      </c>
      <c r="E385" s="1">
        <v>0</v>
      </c>
      <c r="F385" s="1"/>
      <c r="G385" s="1">
        <v>0</v>
      </c>
      <c r="H385" s="1">
        <v>0</v>
      </c>
      <c r="I385" s="1">
        <v>0</v>
      </c>
      <c r="J385" s="1"/>
      <c r="K385" s="1"/>
      <c r="L385" s="1"/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</row>
    <row r="386" spans="3:18" x14ac:dyDescent="0.2">
      <c r="C386" s="1" t="s">
        <v>53</v>
      </c>
      <c r="D386" s="1" t="s">
        <v>76</v>
      </c>
      <c r="E386" s="1">
        <v>0</v>
      </c>
      <c r="F386" s="1"/>
      <c r="G386" s="1">
        <v>0</v>
      </c>
      <c r="H386" s="1">
        <v>0</v>
      </c>
      <c r="I386" s="1">
        <v>0</v>
      </c>
      <c r="J386" s="1"/>
      <c r="K386" s="1"/>
      <c r="L386" s="1"/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</row>
    <row r="387" spans="3:18" x14ac:dyDescent="0.2">
      <c r="C387" s="1" t="s">
        <v>54</v>
      </c>
      <c r="D387" s="1" t="s">
        <v>76</v>
      </c>
      <c r="E387" s="1">
        <v>0</v>
      </c>
      <c r="F387" s="1"/>
      <c r="G387" s="1">
        <v>0</v>
      </c>
      <c r="H387" s="1">
        <v>0</v>
      </c>
      <c r="I387" s="1">
        <v>0</v>
      </c>
      <c r="J387" s="1"/>
      <c r="K387" s="1"/>
      <c r="L387" s="1"/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</row>
    <row r="388" spans="3:18" x14ac:dyDescent="0.2">
      <c r="C388" s="1" t="s">
        <v>55</v>
      </c>
      <c r="D388" s="1" t="s">
        <v>76</v>
      </c>
      <c r="E388" s="1">
        <v>0</v>
      </c>
      <c r="F388" s="1"/>
      <c r="G388" s="1">
        <v>0</v>
      </c>
      <c r="H388" s="1">
        <v>0</v>
      </c>
      <c r="I388" s="1">
        <v>0</v>
      </c>
      <c r="J388" s="1"/>
      <c r="K388" s="1"/>
      <c r="L388" s="1"/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</row>
    <row r="389" spans="3:18" x14ac:dyDescent="0.2">
      <c r="C389" s="1" t="s">
        <v>56</v>
      </c>
      <c r="D389" s="1" t="s">
        <v>76</v>
      </c>
      <c r="E389" s="1">
        <v>0</v>
      </c>
      <c r="F389" s="1"/>
      <c r="G389" s="1">
        <v>0</v>
      </c>
      <c r="H389" s="1">
        <v>0</v>
      </c>
      <c r="I389" s="1">
        <v>0</v>
      </c>
      <c r="J389" s="1"/>
      <c r="K389" s="1"/>
      <c r="L389" s="1"/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</row>
    <row r="390" spans="3:18" x14ac:dyDescent="0.2">
      <c r="C390" s="1" t="s">
        <v>59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3:18" x14ac:dyDescent="0.2">
      <c r="C391" s="1" t="s">
        <v>27</v>
      </c>
      <c r="D391" s="1"/>
      <c r="E391" s="1">
        <v>0.15389189189189201</v>
      </c>
      <c r="F391" s="1"/>
      <c r="G391" s="1">
        <v>9.6360840654525395E-2</v>
      </c>
      <c r="H391" s="1">
        <v>0</v>
      </c>
      <c r="I391" s="1">
        <v>0.25276777529912098</v>
      </c>
      <c r="J391" s="1"/>
      <c r="K391" s="1"/>
      <c r="L391" s="1"/>
      <c r="M391" s="1">
        <v>0</v>
      </c>
      <c r="N391" s="1">
        <v>0.22993454175882999</v>
      </c>
      <c r="O391" s="1">
        <v>7.6889287766343295E-2</v>
      </c>
      <c r="P391" s="1">
        <v>7.6889287766343295E-2</v>
      </c>
      <c r="Q391" s="1">
        <v>0.18691032701545901</v>
      </c>
      <c r="R391" s="1">
        <v>0.19080588694783801</v>
      </c>
    </row>
    <row r="392" spans="3:18" x14ac:dyDescent="0.2">
      <c r="C392" s="1" t="s">
        <v>28</v>
      </c>
      <c r="D392" s="1"/>
      <c r="E392" s="1">
        <v>0.76918918918918899</v>
      </c>
      <c r="F392" s="1"/>
      <c r="G392" s="1">
        <v>0.90363915934547401</v>
      </c>
      <c r="H392" s="1">
        <v>0</v>
      </c>
      <c r="I392" s="1">
        <v>0</v>
      </c>
      <c r="J392" s="1"/>
      <c r="K392" s="1"/>
      <c r="L392" s="1"/>
      <c r="M392" s="1">
        <v>0.37811602356609297</v>
      </c>
      <c r="N392" s="1">
        <v>3.4156298053396601E-2</v>
      </c>
      <c r="O392" s="1">
        <v>0.72104156509958495</v>
      </c>
      <c r="P392" s="1">
        <v>0.72104156509958495</v>
      </c>
      <c r="Q392" s="1">
        <v>2.84953277770498E-2</v>
      </c>
      <c r="R392" s="1">
        <v>2.83438177451769E-2</v>
      </c>
    </row>
    <row r="393" spans="3:18" x14ac:dyDescent="0.2">
      <c r="C393" s="1" t="s">
        <v>29</v>
      </c>
      <c r="D393" s="1"/>
      <c r="E393" s="1">
        <v>7.6918918918918902E-2</v>
      </c>
      <c r="F393" s="1"/>
      <c r="G393" s="1">
        <v>0</v>
      </c>
      <c r="H393" s="1">
        <v>0</v>
      </c>
      <c r="I393" s="1">
        <v>0</v>
      </c>
      <c r="J393" s="1"/>
      <c r="K393" s="1"/>
      <c r="L393" s="1"/>
      <c r="M393" s="1">
        <v>0.62188397643390703</v>
      </c>
      <c r="N393" s="1">
        <v>5.6176551983640403E-2</v>
      </c>
      <c r="O393" s="1">
        <v>0</v>
      </c>
      <c r="P393" s="1">
        <v>0</v>
      </c>
      <c r="Q393" s="1">
        <v>4.6433238759420299E-2</v>
      </c>
      <c r="R393" s="1">
        <v>4.6616818616806097E-2</v>
      </c>
    </row>
    <row r="394" spans="3:18" x14ac:dyDescent="0.2">
      <c r="C394" s="1" t="s">
        <v>30</v>
      </c>
      <c r="D394" s="1"/>
      <c r="E394" s="1">
        <v>0</v>
      </c>
      <c r="F394" s="1"/>
      <c r="G394" s="1">
        <v>0</v>
      </c>
      <c r="H394" s="1">
        <v>0</v>
      </c>
      <c r="I394" s="1">
        <v>0</v>
      </c>
      <c r="J394" s="1"/>
      <c r="K394" s="1"/>
      <c r="L394" s="1"/>
      <c r="M394" s="1">
        <v>0</v>
      </c>
      <c r="N394" s="1">
        <v>0</v>
      </c>
      <c r="O394" s="1">
        <v>0</v>
      </c>
      <c r="P394" s="1">
        <v>0</v>
      </c>
      <c r="Q394" s="1">
        <v>2.8325249749466302E-6</v>
      </c>
      <c r="R394" s="1">
        <v>0</v>
      </c>
    </row>
    <row r="395" spans="3:18" x14ac:dyDescent="0.2">
      <c r="C395" s="1" t="s">
        <v>31</v>
      </c>
      <c r="D395" s="1"/>
      <c r="E395" s="1">
        <v>0</v>
      </c>
      <c r="F395" s="1"/>
      <c r="G395" s="1">
        <v>0</v>
      </c>
      <c r="H395" s="1">
        <v>0</v>
      </c>
      <c r="I395" s="1">
        <v>0</v>
      </c>
      <c r="J395" s="1"/>
      <c r="K395" s="1"/>
      <c r="L395" s="1"/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</row>
    <row r="396" spans="3:18" x14ac:dyDescent="0.2">
      <c r="C396" s="1" t="s">
        <v>32</v>
      </c>
      <c r="D396" s="1"/>
      <c r="E396" s="1">
        <v>0</v>
      </c>
      <c r="F396" s="1"/>
      <c r="G396" s="1">
        <v>0</v>
      </c>
      <c r="H396" s="1">
        <v>1</v>
      </c>
      <c r="I396" s="1">
        <v>0.74723222470087902</v>
      </c>
      <c r="J396" s="1"/>
      <c r="K396" s="1"/>
      <c r="L396" s="1"/>
      <c r="M396" s="1">
        <v>0</v>
      </c>
      <c r="N396" s="1">
        <v>0.67973260820413295</v>
      </c>
      <c r="O396" s="1">
        <v>0.20206914713407201</v>
      </c>
      <c r="P396" s="1">
        <v>0.20206914713407201</v>
      </c>
      <c r="Q396" s="1">
        <v>0.142299871566585</v>
      </c>
      <c r="R396" s="1">
        <v>0.14154326128136799</v>
      </c>
    </row>
    <row r="397" spans="3:18" x14ac:dyDescent="0.2">
      <c r="C397" s="1" t="s">
        <v>33</v>
      </c>
      <c r="D397" s="1"/>
      <c r="E397" s="1">
        <v>0</v>
      </c>
      <c r="F397" s="1"/>
      <c r="G397" s="1">
        <v>0</v>
      </c>
      <c r="H397" s="1">
        <v>0</v>
      </c>
      <c r="I397" s="1">
        <v>0</v>
      </c>
      <c r="J397" s="1"/>
      <c r="K397" s="1"/>
      <c r="L397" s="1"/>
      <c r="M397" s="1">
        <v>0</v>
      </c>
      <c r="N397" s="1">
        <v>0</v>
      </c>
      <c r="O397" s="1">
        <v>0</v>
      </c>
      <c r="P397" s="1">
        <v>0</v>
      </c>
      <c r="Q397" s="1">
        <v>0.418524270540924</v>
      </c>
      <c r="R397" s="1">
        <v>0.41629897150011402</v>
      </c>
    </row>
    <row r="398" spans="3:18" x14ac:dyDescent="0.2">
      <c r="C398" s="1" t="s">
        <v>34</v>
      </c>
      <c r="D398" s="1"/>
      <c r="E398" s="1">
        <v>0</v>
      </c>
      <c r="F398" s="1"/>
      <c r="G398" s="1">
        <v>0</v>
      </c>
      <c r="H398" s="1">
        <v>0</v>
      </c>
      <c r="I398" s="1">
        <v>0</v>
      </c>
      <c r="J398" s="1"/>
      <c r="K398" s="1"/>
      <c r="L398" s="1"/>
      <c r="M398" s="1">
        <v>0</v>
      </c>
      <c r="N398" s="1">
        <v>0</v>
      </c>
      <c r="O398" s="1">
        <v>0</v>
      </c>
      <c r="P398" s="1">
        <v>0</v>
      </c>
      <c r="Q398" s="1">
        <v>8.9824713040847201E-2</v>
      </c>
      <c r="R398" s="1">
        <v>8.93471138623992E-2</v>
      </c>
    </row>
    <row r="399" spans="3:18" x14ac:dyDescent="0.2">
      <c r="C399" s="1" t="s">
        <v>35</v>
      </c>
      <c r="D399" s="1"/>
      <c r="E399" s="1">
        <v>0</v>
      </c>
      <c r="F399" s="1"/>
      <c r="G399" s="1">
        <v>0</v>
      </c>
      <c r="H399" s="1">
        <v>0</v>
      </c>
      <c r="I399" s="1">
        <v>0</v>
      </c>
      <c r="J399" s="1"/>
      <c r="K399" s="1"/>
      <c r="L399" s="1"/>
      <c r="M399" s="1">
        <v>0</v>
      </c>
      <c r="N399" s="1">
        <v>0</v>
      </c>
      <c r="O399" s="1">
        <v>0</v>
      </c>
      <c r="P399" s="1">
        <v>0</v>
      </c>
      <c r="Q399" s="1">
        <v>8.7509418774738806E-2</v>
      </c>
      <c r="R399" s="1">
        <v>8.7044130046298698E-2</v>
      </c>
    </row>
    <row r="400" spans="3:18" x14ac:dyDescent="0.2">
      <c r="C400" s="1" t="s">
        <v>36</v>
      </c>
      <c r="D400" s="1"/>
      <c r="E400" s="1">
        <v>0</v>
      </c>
      <c r="F400" s="1"/>
      <c r="G400" s="1">
        <v>0</v>
      </c>
      <c r="H400" s="1">
        <v>0</v>
      </c>
      <c r="I400" s="1">
        <v>0</v>
      </c>
      <c r="J400" s="1"/>
      <c r="K400" s="1"/>
      <c r="L400" s="1"/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3:18" x14ac:dyDescent="0.2">
      <c r="C401" s="1" t="s">
        <v>37</v>
      </c>
      <c r="D401" s="1"/>
      <c r="E401" s="1">
        <v>0</v>
      </c>
      <c r="F401" s="1"/>
      <c r="G401" s="1">
        <v>0</v>
      </c>
      <c r="H401" s="1">
        <v>0</v>
      </c>
      <c r="I401" s="1">
        <v>0</v>
      </c>
      <c r="J401" s="1"/>
      <c r="K401" s="1"/>
      <c r="L401" s="1"/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</row>
    <row r="402" spans="3:18" x14ac:dyDescent="0.2">
      <c r="C402" s="1" t="s">
        <v>38</v>
      </c>
      <c r="D402" s="1"/>
      <c r="E402" s="1">
        <v>0</v>
      </c>
      <c r="F402" s="1"/>
      <c r="G402" s="1">
        <v>0</v>
      </c>
      <c r="H402" s="1">
        <v>0</v>
      </c>
      <c r="I402" s="1">
        <v>0</v>
      </c>
      <c r="J402" s="1"/>
      <c r="K402" s="1"/>
      <c r="L402" s="1"/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</row>
    <row r="403" spans="3:18" x14ac:dyDescent="0.2">
      <c r="C403" s="1" t="s">
        <v>39</v>
      </c>
      <c r="D403" s="1"/>
      <c r="E403" s="1">
        <v>0</v>
      </c>
      <c r="F403" s="1"/>
      <c r="G403" s="1">
        <v>0</v>
      </c>
      <c r="H403" s="1">
        <v>0</v>
      </c>
      <c r="I403" s="1">
        <v>0</v>
      </c>
      <c r="J403" s="1"/>
      <c r="K403" s="1"/>
      <c r="L403" s="1"/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</row>
    <row r="404" spans="3:18" x14ac:dyDescent="0.2">
      <c r="C404" s="1" t="s">
        <v>40</v>
      </c>
      <c r="D404" s="1"/>
      <c r="E404" s="1">
        <v>0</v>
      </c>
      <c r="F404" s="1"/>
      <c r="G404" s="1">
        <v>0</v>
      </c>
      <c r="H404" s="1">
        <v>0</v>
      </c>
      <c r="I404" s="1">
        <v>0</v>
      </c>
      <c r="J404" s="1"/>
      <c r="K404" s="1"/>
      <c r="L404" s="1"/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</row>
    <row r="405" spans="3:18" x14ac:dyDescent="0.2">
      <c r="C405" s="1" t="s">
        <v>41</v>
      </c>
      <c r="D405" s="1"/>
      <c r="E405" s="1">
        <v>0</v>
      </c>
      <c r="F405" s="1"/>
      <c r="G405" s="1">
        <v>0</v>
      </c>
      <c r="H405" s="1">
        <v>0</v>
      </c>
      <c r="I405" s="1">
        <v>0</v>
      </c>
      <c r="J405" s="1"/>
      <c r="K405" s="1"/>
      <c r="L405" s="1"/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</row>
    <row r="406" spans="3:18" x14ac:dyDescent="0.2">
      <c r="C406" s="1" t="s">
        <v>42</v>
      </c>
      <c r="D406" s="1"/>
      <c r="E406" s="1">
        <v>0</v>
      </c>
      <c r="F406" s="1"/>
      <c r="G406" s="1">
        <v>0</v>
      </c>
      <c r="H406" s="1">
        <v>0</v>
      </c>
      <c r="I406" s="1">
        <v>0</v>
      </c>
      <c r="J406" s="1"/>
      <c r="K406" s="1"/>
      <c r="L406" s="1"/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</row>
    <row r="407" spans="3:18" x14ac:dyDescent="0.2">
      <c r="C407" s="1" t="s">
        <v>43</v>
      </c>
      <c r="D407" s="1"/>
      <c r="E407" s="1">
        <v>0</v>
      </c>
      <c r="F407" s="1"/>
      <c r="G407" s="1">
        <v>0</v>
      </c>
      <c r="H407" s="1">
        <v>0</v>
      </c>
      <c r="I407" s="1">
        <v>0</v>
      </c>
      <c r="J407" s="1"/>
      <c r="K407" s="1"/>
      <c r="L407" s="1"/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</row>
    <row r="408" spans="3:18" x14ac:dyDescent="0.2">
      <c r="C408" s="1" t="s">
        <v>44</v>
      </c>
      <c r="D408" s="1"/>
      <c r="E408" s="1">
        <v>0</v>
      </c>
      <c r="F408" s="1"/>
      <c r="G408" s="1">
        <v>0</v>
      </c>
      <c r="H408" s="1">
        <v>0</v>
      </c>
      <c r="I408" s="1">
        <v>0</v>
      </c>
      <c r="J408" s="1"/>
      <c r="K408" s="1"/>
      <c r="L408" s="1"/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</row>
    <row r="409" spans="3:18" x14ac:dyDescent="0.2">
      <c r="C409" s="1" t="s">
        <v>45</v>
      </c>
      <c r="D409" s="1"/>
      <c r="E409" s="1">
        <v>0</v>
      </c>
      <c r="F409" s="1"/>
      <c r="G409" s="1">
        <v>0</v>
      </c>
      <c r="H409" s="1">
        <v>0</v>
      </c>
      <c r="I409" s="1">
        <v>0</v>
      </c>
      <c r="J409" s="1"/>
      <c r="K409" s="1"/>
      <c r="L409" s="1"/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</row>
    <row r="410" spans="3:18" x14ac:dyDescent="0.2">
      <c r="C410" s="1" t="s">
        <v>46</v>
      </c>
      <c r="D410" s="1"/>
      <c r="E410" s="1">
        <v>0</v>
      </c>
      <c r="F410" s="1"/>
      <c r="G410" s="1">
        <v>0</v>
      </c>
      <c r="H410" s="1">
        <v>0</v>
      </c>
      <c r="I410" s="1">
        <v>0</v>
      </c>
      <c r="J410" s="1"/>
      <c r="K410" s="1"/>
      <c r="L410" s="1"/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</row>
    <row r="411" spans="3:18" x14ac:dyDescent="0.2">
      <c r="C411" s="1" t="s">
        <v>47</v>
      </c>
      <c r="D411" s="1"/>
      <c r="E411" s="1">
        <v>0</v>
      </c>
      <c r="F411" s="1"/>
      <c r="G411" s="1">
        <v>0</v>
      </c>
      <c r="H411" s="1">
        <v>0</v>
      </c>
      <c r="I411" s="1">
        <v>0</v>
      </c>
      <c r="J411" s="1"/>
      <c r="K411" s="1"/>
      <c r="L411" s="1"/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</row>
    <row r="412" spans="3:18" x14ac:dyDescent="0.2">
      <c r="C412" s="1" t="s">
        <v>48</v>
      </c>
      <c r="D412" s="1"/>
      <c r="E412" s="1">
        <v>0</v>
      </c>
      <c r="F412" s="1"/>
      <c r="G412" s="1">
        <v>0</v>
      </c>
      <c r="H412" s="1">
        <v>0</v>
      </c>
      <c r="I412" s="1">
        <v>0</v>
      </c>
      <c r="J412" s="1"/>
      <c r="K412" s="1"/>
      <c r="L412" s="1"/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</row>
    <row r="413" spans="3:18" x14ac:dyDescent="0.2">
      <c r="C413" s="1" t="s">
        <v>49</v>
      </c>
      <c r="D413" s="1"/>
      <c r="E413" s="1">
        <v>0</v>
      </c>
      <c r="F413" s="1"/>
      <c r="G413" s="1">
        <v>0</v>
      </c>
      <c r="H413" s="1">
        <v>0</v>
      </c>
      <c r="I413" s="1">
        <v>0</v>
      </c>
      <c r="J413" s="1"/>
      <c r="K413" s="1"/>
      <c r="L413" s="1"/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</row>
    <row r="414" spans="3:18" x14ac:dyDescent="0.2">
      <c r="C414" s="1" t="s">
        <v>50</v>
      </c>
      <c r="D414" s="1"/>
      <c r="E414" s="1">
        <v>0</v>
      </c>
      <c r="F414" s="1"/>
      <c r="G414" s="1">
        <v>0</v>
      </c>
      <c r="H414" s="1">
        <v>0</v>
      </c>
      <c r="I414" s="1">
        <v>0</v>
      </c>
      <c r="J414" s="1"/>
      <c r="K414" s="1"/>
      <c r="L414" s="1"/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</row>
    <row r="415" spans="3:18" x14ac:dyDescent="0.2">
      <c r="C415" s="1" t="s">
        <v>51</v>
      </c>
      <c r="D415" s="1"/>
      <c r="E415" s="1">
        <v>0</v>
      </c>
      <c r="F415" s="1"/>
      <c r="G415" s="1">
        <v>0</v>
      </c>
      <c r="H415" s="1">
        <v>0</v>
      </c>
      <c r="I415" s="1">
        <v>0</v>
      </c>
      <c r="J415" s="1"/>
      <c r="K415" s="1"/>
      <c r="L415" s="1"/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</row>
    <row r="416" spans="3:18" x14ac:dyDescent="0.2">
      <c r="C416" s="1" t="s">
        <v>52</v>
      </c>
      <c r="D416" s="1"/>
      <c r="E416" s="1">
        <v>0</v>
      </c>
      <c r="F416" s="1"/>
      <c r="G416" s="1">
        <v>0</v>
      </c>
      <c r="H416" s="1">
        <v>0</v>
      </c>
      <c r="I416" s="1">
        <v>0</v>
      </c>
      <c r="J416" s="1"/>
      <c r="K416" s="1"/>
      <c r="L416" s="1"/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</row>
    <row r="417" spans="3:18" x14ac:dyDescent="0.2">
      <c r="C417" s="1" t="s">
        <v>53</v>
      </c>
      <c r="D417" s="1"/>
      <c r="E417" s="1">
        <v>0</v>
      </c>
      <c r="F417" s="1"/>
      <c r="G417" s="1">
        <v>0</v>
      </c>
      <c r="H417" s="1">
        <v>0</v>
      </c>
      <c r="I417" s="1">
        <v>0</v>
      </c>
      <c r="J417" s="1"/>
      <c r="K417" s="1"/>
      <c r="L417" s="1"/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</row>
    <row r="418" spans="3:18" x14ac:dyDescent="0.2">
      <c r="C418" s="1" t="s">
        <v>54</v>
      </c>
      <c r="D418" s="1"/>
      <c r="E418" s="1">
        <v>0</v>
      </c>
      <c r="F418" s="1"/>
      <c r="G418" s="1">
        <v>0</v>
      </c>
      <c r="H418" s="1">
        <v>0</v>
      </c>
      <c r="I418" s="1">
        <v>0</v>
      </c>
      <c r="J418" s="1"/>
      <c r="K418" s="1"/>
      <c r="L418" s="1"/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</row>
    <row r="419" spans="3:18" x14ac:dyDescent="0.2">
      <c r="C419" s="1" t="s">
        <v>55</v>
      </c>
      <c r="D419" s="1"/>
      <c r="E419" s="1">
        <v>0</v>
      </c>
      <c r="F419" s="1"/>
      <c r="G419" s="1">
        <v>0</v>
      </c>
      <c r="H419" s="1">
        <v>0</v>
      </c>
      <c r="I419" s="1">
        <v>0</v>
      </c>
      <c r="J419" s="1"/>
      <c r="K419" s="1"/>
      <c r="L419" s="1"/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</row>
    <row r="420" spans="3:18" x14ac:dyDescent="0.2">
      <c r="C420" s="1" t="s">
        <v>56</v>
      </c>
      <c r="D420" s="1"/>
      <c r="E420" s="1">
        <v>0</v>
      </c>
      <c r="F420" s="1"/>
      <c r="G420" s="1">
        <v>0</v>
      </c>
      <c r="H420" s="1">
        <v>0</v>
      </c>
      <c r="I420" s="1">
        <v>0</v>
      </c>
      <c r="J420" s="1"/>
      <c r="K420" s="1"/>
      <c r="L420" s="1"/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</row>
    <row r="421" spans="3:18" x14ac:dyDescent="0.2">
      <c r="C421" s="1" t="s">
        <v>60</v>
      </c>
      <c r="D421" s="1" t="s">
        <v>77</v>
      </c>
      <c r="E421" s="1">
        <v>1.8886269266325801</v>
      </c>
      <c r="F421" s="1"/>
      <c r="G421" s="1">
        <v>1.1362007107655496</v>
      </c>
      <c r="H421" s="1">
        <v>0.13737453099323671</v>
      </c>
      <c r="I421" s="1">
        <v>1.8377419687138401</v>
      </c>
      <c r="J421" s="1"/>
      <c r="K421" s="1"/>
      <c r="L421" s="1"/>
      <c r="M421" s="1">
        <v>0.25824578229928147</v>
      </c>
      <c r="N421" s="1">
        <v>2.1697340832922936</v>
      </c>
      <c r="O421" s="1">
        <v>1.867113186188786</v>
      </c>
      <c r="P421" s="1">
        <v>1.867113186188786</v>
      </c>
      <c r="Q421" s="1">
        <v>5.697699138129372</v>
      </c>
      <c r="R421" s="1">
        <v>5.8364780070228601</v>
      </c>
    </row>
    <row r="422" spans="3:18" x14ac:dyDescent="0.2">
      <c r="C422" s="1" t="s">
        <v>63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3:18" x14ac:dyDescent="0.2">
      <c r="C423" s="1" t="s">
        <v>18</v>
      </c>
      <c r="D423" s="1" t="s">
        <v>68</v>
      </c>
      <c r="E423" s="1"/>
      <c r="F423" s="1">
        <v>-140744.99999999985</v>
      </c>
      <c r="G423" s="1"/>
      <c r="H423" s="1"/>
      <c r="I423" s="1">
        <v>-115135.83268708734</v>
      </c>
      <c r="J423" s="1">
        <v>-115135.83268708734</v>
      </c>
      <c r="K423" s="1">
        <v>-115135.83268708734</v>
      </c>
      <c r="L423" s="1">
        <v>-140744.99999999985</v>
      </c>
      <c r="M423" s="1">
        <v>-132846.19361326061</v>
      </c>
      <c r="N423" s="1">
        <v>-125169.05583443734</v>
      </c>
      <c r="O423" s="1">
        <v>-115135.83268708734</v>
      </c>
      <c r="P423" s="1"/>
      <c r="Q423" s="1">
        <v>-115213.2789849463</v>
      </c>
      <c r="R423" s="1">
        <v>-115135.83268708734</v>
      </c>
    </row>
    <row r="424" spans="3:18" x14ac:dyDescent="0.2">
      <c r="C424" s="1" t="s">
        <v>19</v>
      </c>
      <c r="D424" s="1" t="s">
        <v>69</v>
      </c>
      <c r="E424" s="1"/>
      <c r="F424" s="1">
        <v>-1449.4850669412963</v>
      </c>
      <c r="G424" s="1"/>
      <c r="H424" s="1"/>
      <c r="I424" s="1">
        <v>-4807.6748821457913</v>
      </c>
      <c r="J424" s="1">
        <v>-4807.6748821457913</v>
      </c>
      <c r="K424" s="1">
        <v>-4807.6748821457913</v>
      </c>
      <c r="L424" s="1">
        <v>-1449.4850669412963</v>
      </c>
      <c r="M424" s="1">
        <v>-1441.1862264024217</v>
      </c>
      <c r="N424" s="1">
        <v>-1999.4475363922827</v>
      </c>
      <c r="O424" s="1">
        <v>-4807.6748821457913</v>
      </c>
      <c r="P424" s="1"/>
      <c r="Q424" s="1">
        <v>-4766.8748143610392</v>
      </c>
      <c r="R424" s="1">
        <v>-4807.6748821457913</v>
      </c>
    </row>
    <row r="425" spans="3:18" x14ac:dyDescent="0.2">
      <c r="C425" s="1" t="s">
        <v>20</v>
      </c>
      <c r="D425" s="1" t="s">
        <v>70</v>
      </c>
      <c r="E425" s="1"/>
      <c r="F425" s="1">
        <v>-472.07621782273378</v>
      </c>
      <c r="G425" s="1"/>
      <c r="H425" s="1"/>
      <c r="I425" s="1">
        <v>-34.727264700525254</v>
      </c>
      <c r="J425" s="1">
        <v>-34.727264700525133</v>
      </c>
      <c r="K425" s="1">
        <v>-34.727264700525133</v>
      </c>
      <c r="L425" s="1">
        <v>-472.07621782273378</v>
      </c>
      <c r="M425" s="1">
        <v>-121.01393632410247</v>
      </c>
      <c r="N425" s="1">
        <v>-83.610143748012376</v>
      </c>
      <c r="O425" s="1">
        <v>-34.727264700525133</v>
      </c>
      <c r="P425" s="1"/>
      <c r="Q425" s="1">
        <v>-36.049879250142958</v>
      </c>
      <c r="R425" s="1">
        <v>-34.72726470052519</v>
      </c>
    </row>
    <row r="426" spans="3:18" x14ac:dyDescent="0.2">
      <c r="C426" s="1" t="s">
        <v>21</v>
      </c>
      <c r="D426" s="1" t="s">
        <v>71</v>
      </c>
      <c r="E426" s="1"/>
      <c r="F426" s="1">
        <v>-4.8617530156821198</v>
      </c>
      <c r="G426" s="1"/>
      <c r="H426" s="1"/>
      <c r="I426" s="1">
        <v>-1.4500906827164324</v>
      </c>
      <c r="J426" s="1">
        <v>-1.4500906827164277</v>
      </c>
      <c r="K426" s="1">
        <v>-1.4500906827164277</v>
      </c>
      <c r="L426" s="1">
        <v>-4.8617530156821198</v>
      </c>
      <c r="M426" s="1">
        <v>-1.312823600657741</v>
      </c>
      <c r="N426" s="1">
        <v>-1.335586458009967</v>
      </c>
      <c r="O426" s="1">
        <v>-1.4500906827164277</v>
      </c>
      <c r="P426" s="1"/>
      <c r="Q426" s="1">
        <v>-1.4915404107257142</v>
      </c>
      <c r="R426" s="1">
        <v>-1.4500906827164302</v>
      </c>
    </row>
    <row r="427" spans="3:18" x14ac:dyDescent="0.2">
      <c r="C427" s="1" t="s">
        <v>22</v>
      </c>
      <c r="D427" s="1" t="s">
        <v>72</v>
      </c>
      <c r="E427" s="1"/>
      <c r="F427" s="1">
        <v>4.9504950493902057E-2</v>
      </c>
      <c r="G427" s="1"/>
      <c r="H427" s="1"/>
      <c r="I427" s="1">
        <v>6.0827250608272217E-2</v>
      </c>
      <c r="J427" s="1">
        <v>6.0827250608272633E-2</v>
      </c>
      <c r="K427" s="1">
        <v>6.0827250608272633E-2</v>
      </c>
      <c r="L427" s="1">
        <v>4.9504950495049542E-2</v>
      </c>
      <c r="M427" s="1">
        <v>3.6412959372240566E-2</v>
      </c>
      <c r="N427" s="1">
        <v>4.4082814729680633E-2</v>
      </c>
      <c r="O427" s="1">
        <v>6.0827250608272633E-2</v>
      </c>
      <c r="P427" s="1"/>
      <c r="Q427" s="1">
        <v>6.0785208049078374E-2</v>
      </c>
      <c r="R427" s="1">
        <v>6.0827250608271384E-2</v>
      </c>
    </row>
    <row r="428" spans="3:18" x14ac:dyDescent="0.2">
      <c r="C428" s="1" t="s">
        <v>23</v>
      </c>
      <c r="D428" s="1" t="s">
        <v>73</v>
      </c>
      <c r="E428" s="1"/>
      <c r="F428" s="1">
        <v>4.8069306929578897</v>
      </c>
      <c r="G428" s="1"/>
      <c r="H428" s="1"/>
      <c r="I428" s="1">
        <v>1.4567116788321099</v>
      </c>
      <c r="J428" s="1">
        <v>1.4567116788321199</v>
      </c>
      <c r="K428" s="1">
        <v>1.4567116788321199</v>
      </c>
      <c r="L428" s="1">
        <v>4.8069306930693099</v>
      </c>
      <c r="M428" s="1">
        <v>3.3564871507769598</v>
      </c>
      <c r="N428" s="1">
        <v>2.7596644562100603</v>
      </c>
      <c r="O428" s="1">
        <v>1.4567116788321199</v>
      </c>
      <c r="P428" s="1"/>
      <c r="Q428" s="1">
        <v>1.4691518879451</v>
      </c>
      <c r="R428" s="1">
        <v>1.45671167883209</v>
      </c>
    </row>
    <row r="429" spans="3:18" x14ac:dyDescent="0.2">
      <c r="C429" s="1" t="s">
        <v>24</v>
      </c>
      <c r="D429" s="1" t="s">
        <v>74</v>
      </c>
      <c r="E429" s="1"/>
      <c r="F429" s="1">
        <v>-40.26347408169314</v>
      </c>
      <c r="G429" s="1"/>
      <c r="H429" s="1"/>
      <c r="I429" s="1">
        <v>-25177.530291499417</v>
      </c>
      <c r="J429" s="1">
        <v>-95461.375262606001</v>
      </c>
      <c r="K429" s="1">
        <v>-80127.914702430033</v>
      </c>
      <c r="L429" s="1">
        <v>-40263.474081702712</v>
      </c>
      <c r="M429" s="1">
        <v>-37965.827731905163</v>
      </c>
      <c r="N429" s="1">
        <v>-63143.358023404653</v>
      </c>
      <c r="O429" s="1">
        <v>-95461.375262606001</v>
      </c>
      <c r="P429" s="1"/>
      <c r="Q429" s="1">
        <v>-10898.722669056064</v>
      </c>
      <c r="R429" s="1">
        <v>-10858.459194974324</v>
      </c>
    </row>
    <row r="430" spans="3:18" x14ac:dyDescent="0.2">
      <c r="C430" s="1" t="s">
        <v>25</v>
      </c>
      <c r="D430" s="1"/>
      <c r="E430" s="1"/>
      <c r="F430" s="1">
        <v>97.1</v>
      </c>
      <c r="G430" s="1"/>
      <c r="H430" s="1"/>
      <c r="I430" s="1">
        <v>23.948340000000002</v>
      </c>
      <c r="J430" s="1">
        <v>23.948340000000002</v>
      </c>
      <c r="K430" s="1">
        <v>23.948340000000002</v>
      </c>
      <c r="L430" s="1">
        <v>97.1</v>
      </c>
      <c r="M430" s="1">
        <v>92.178367499999993</v>
      </c>
      <c r="N430" s="1">
        <v>62.6018205310288</v>
      </c>
      <c r="O430" s="1">
        <v>23.948340000000002</v>
      </c>
      <c r="P430" s="1"/>
      <c r="Q430" s="1">
        <v>24.1695625481597</v>
      </c>
      <c r="R430" s="1">
        <v>23.948340000000002</v>
      </c>
    </row>
    <row r="431" spans="3:18" x14ac:dyDescent="0.2">
      <c r="C431" s="1" t="s">
        <v>26</v>
      </c>
      <c r="D431" s="1" t="s">
        <v>75</v>
      </c>
      <c r="E431" s="1"/>
      <c r="F431" s="1">
        <v>1.0298661174044928E-3</v>
      </c>
      <c r="G431" s="1"/>
      <c r="H431" s="1"/>
      <c r="I431" s="1">
        <v>0.78723631847727216</v>
      </c>
      <c r="J431" s="1">
        <v>2.9848305512270237</v>
      </c>
      <c r="K431" s="1">
        <v>2.5053928581271219</v>
      </c>
      <c r="L431" s="1">
        <v>1.0298661174047374</v>
      </c>
      <c r="M431" s="1">
        <v>1.0288362512873341</v>
      </c>
      <c r="N431" s="1">
        <v>1.816072569764609</v>
      </c>
      <c r="O431" s="1">
        <v>2.9848305512270237</v>
      </c>
      <c r="P431" s="1"/>
      <c r="Q431" s="1">
        <v>0.34054582904222569</v>
      </c>
      <c r="R431" s="1">
        <v>0.33951596292482089</v>
      </c>
    </row>
    <row r="432" spans="3:18" x14ac:dyDescent="0.2">
      <c r="C432" s="1" t="s">
        <v>27</v>
      </c>
      <c r="D432" s="1" t="s">
        <v>75</v>
      </c>
      <c r="E432" s="1"/>
      <c r="F432" s="1">
        <v>0</v>
      </c>
      <c r="G432" s="1"/>
      <c r="H432" s="1"/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/>
      <c r="Q432" s="1">
        <v>0</v>
      </c>
      <c r="R432" s="1">
        <v>0</v>
      </c>
    </row>
    <row r="433" spans="3:18" x14ac:dyDescent="0.2">
      <c r="C433" s="1" t="s">
        <v>28</v>
      </c>
      <c r="D433" s="1" t="s">
        <v>75</v>
      </c>
      <c r="E433" s="1"/>
      <c r="F433" s="1">
        <v>0</v>
      </c>
      <c r="G433" s="1"/>
      <c r="H433" s="1"/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/>
      <c r="Q433" s="1">
        <v>0</v>
      </c>
      <c r="R433" s="1">
        <v>0</v>
      </c>
    </row>
    <row r="434" spans="3:18" x14ac:dyDescent="0.2">
      <c r="C434" s="1" t="s">
        <v>29</v>
      </c>
      <c r="D434" s="1" t="s">
        <v>75</v>
      </c>
      <c r="E434" s="1"/>
      <c r="F434" s="1">
        <v>0</v>
      </c>
      <c r="G434" s="1"/>
      <c r="H434" s="1"/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/>
      <c r="Q434" s="1">
        <v>0</v>
      </c>
      <c r="R434" s="1">
        <v>0</v>
      </c>
    </row>
    <row r="435" spans="3:18" x14ac:dyDescent="0.2">
      <c r="C435" s="1" t="s">
        <v>30</v>
      </c>
      <c r="D435" s="1" t="s">
        <v>75</v>
      </c>
      <c r="E435" s="1"/>
      <c r="F435" s="1">
        <v>0</v>
      </c>
      <c r="G435" s="1"/>
      <c r="H435" s="1"/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/>
      <c r="Q435" s="1">
        <v>0</v>
      </c>
      <c r="R435" s="1">
        <v>0</v>
      </c>
    </row>
    <row r="436" spans="3:18" x14ac:dyDescent="0.2">
      <c r="C436" s="1" t="s">
        <v>31</v>
      </c>
      <c r="D436" s="1" t="s">
        <v>75</v>
      </c>
      <c r="E436" s="1"/>
      <c r="F436" s="1">
        <v>0</v>
      </c>
      <c r="G436" s="1"/>
      <c r="H436" s="1"/>
      <c r="I436" s="1">
        <v>0.78723631847727216</v>
      </c>
      <c r="J436" s="1">
        <v>2.9848305512270237</v>
      </c>
      <c r="K436" s="1">
        <v>2.5053928581271219</v>
      </c>
      <c r="L436" s="1">
        <v>0</v>
      </c>
      <c r="M436" s="1">
        <v>0</v>
      </c>
      <c r="N436" s="1">
        <v>0.78723631847727349</v>
      </c>
      <c r="O436" s="1">
        <v>2.9848305512270237</v>
      </c>
      <c r="P436" s="1"/>
      <c r="Q436" s="1">
        <v>0.33951596292482122</v>
      </c>
      <c r="R436" s="1">
        <v>0.33951596292482089</v>
      </c>
    </row>
    <row r="437" spans="3:18" x14ac:dyDescent="0.2">
      <c r="C437" s="1" t="s">
        <v>32</v>
      </c>
      <c r="D437" s="1" t="s">
        <v>75</v>
      </c>
      <c r="E437" s="1"/>
      <c r="F437" s="1">
        <v>0</v>
      </c>
      <c r="G437" s="1"/>
      <c r="H437" s="1"/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/>
      <c r="Q437" s="1">
        <v>0</v>
      </c>
      <c r="R437" s="1">
        <v>0</v>
      </c>
    </row>
    <row r="438" spans="3:18" x14ac:dyDescent="0.2">
      <c r="C438" s="1" t="s">
        <v>33</v>
      </c>
      <c r="D438" s="1" t="s">
        <v>75</v>
      </c>
      <c r="E438" s="1"/>
      <c r="F438" s="1">
        <v>0</v>
      </c>
      <c r="G438" s="1"/>
      <c r="H438" s="1"/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/>
      <c r="Q438" s="1">
        <v>0</v>
      </c>
      <c r="R438" s="1">
        <v>0</v>
      </c>
    </row>
    <row r="439" spans="3:18" x14ac:dyDescent="0.2">
      <c r="C439" s="1" t="s">
        <v>34</v>
      </c>
      <c r="D439" s="1" t="s">
        <v>75</v>
      </c>
      <c r="E439" s="1"/>
      <c r="F439" s="1">
        <v>0</v>
      </c>
      <c r="G439" s="1"/>
      <c r="H439" s="1"/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/>
      <c r="Q439" s="1">
        <v>0</v>
      </c>
      <c r="R439" s="1">
        <v>0</v>
      </c>
    </row>
    <row r="440" spans="3:18" x14ac:dyDescent="0.2">
      <c r="C440" s="1" t="s">
        <v>35</v>
      </c>
      <c r="D440" s="1" t="s">
        <v>75</v>
      </c>
      <c r="E440" s="1"/>
      <c r="F440" s="1">
        <v>0</v>
      </c>
      <c r="G440" s="1"/>
      <c r="H440" s="1"/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/>
      <c r="Q440" s="1">
        <v>0</v>
      </c>
      <c r="R440" s="1">
        <v>0</v>
      </c>
    </row>
    <row r="441" spans="3:18" x14ac:dyDescent="0.2">
      <c r="C441" s="1" t="s">
        <v>36</v>
      </c>
      <c r="D441" s="1" t="s">
        <v>75</v>
      </c>
      <c r="E441" s="1"/>
      <c r="F441" s="1">
        <v>0</v>
      </c>
      <c r="G441" s="1"/>
      <c r="H441" s="1"/>
      <c r="I441" s="1">
        <v>0</v>
      </c>
      <c r="J441" s="1">
        <v>0</v>
      </c>
      <c r="K441" s="1">
        <v>0</v>
      </c>
      <c r="L441" s="1">
        <v>0</v>
      </c>
      <c r="M441" s="1">
        <v>0.15432543769310014</v>
      </c>
      <c r="N441" s="1">
        <v>0.15432543769310036</v>
      </c>
      <c r="O441" s="1">
        <v>0</v>
      </c>
      <c r="P441" s="1"/>
      <c r="Q441" s="1">
        <v>0</v>
      </c>
      <c r="R441" s="1">
        <v>0</v>
      </c>
    </row>
    <row r="442" spans="3:18" x14ac:dyDescent="0.2">
      <c r="C442" s="1" t="s">
        <v>37</v>
      </c>
      <c r="D442" s="1" t="s">
        <v>75</v>
      </c>
      <c r="E442" s="1"/>
      <c r="F442" s="1">
        <v>0</v>
      </c>
      <c r="G442" s="1"/>
      <c r="H442" s="1"/>
      <c r="I442" s="1">
        <v>0</v>
      </c>
      <c r="J442" s="1">
        <v>0</v>
      </c>
      <c r="K442" s="1">
        <v>0</v>
      </c>
      <c r="L442" s="1">
        <v>0</v>
      </c>
      <c r="M442" s="1">
        <v>0.15432543769310014</v>
      </c>
      <c r="N442" s="1">
        <v>0.15432543769310036</v>
      </c>
      <c r="O442" s="1">
        <v>0</v>
      </c>
      <c r="P442" s="1"/>
      <c r="Q442" s="1">
        <v>0</v>
      </c>
      <c r="R442" s="1">
        <v>0</v>
      </c>
    </row>
    <row r="443" spans="3:18" x14ac:dyDescent="0.2">
      <c r="C443" s="1" t="s">
        <v>38</v>
      </c>
      <c r="D443" s="1" t="s">
        <v>75</v>
      </c>
      <c r="E443" s="1"/>
      <c r="F443" s="1">
        <v>1.0298661174044928E-3</v>
      </c>
      <c r="G443" s="1"/>
      <c r="H443" s="1"/>
      <c r="I443" s="1">
        <v>0</v>
      </c>
      <c r="J443" s="1">
        <v>0</v>
      </c>
      <c r="K443" s="1">
        <v>0</v>
      </c>
      <c r="L443" s="1">
        <v>1.0298661174047374</v>
      </c>
      <c r="M443" s="1">
        <v>0</v>
      </c>
      <c r="N443" s="1">
        <v>0</v>
      </c>
      <c r="O443" s="1">
        <v>0</v>
      </c>
      <c r="P443" s="1"/>
      <c r="Q443" s="1">
        <v>1.0298661174044962E-3</v>
      </c>
      <c r="R443" s="1">
        <v>0</v>
      </c>
    </row>
    <row r="444" spans="3:18" x14ac:dyDescent="0.2">
      <c r="C444" s="1" t="s">
        <v>39</v>
      </c>
      <c r="D444" s="1" t="s">
        <v>75</v>
      </c>
      <c r="E444" s="1"/>
      <c r="F444" s="1">
        <v>0</v>
      </c>
      <c r="G444" s="1"/>
      <c r="H444" s="1"/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/>
      <c r="Q444" s="1">
        <v>0</v>
      </c>
      <c r="R444" s="1">
        <v>0</v>
      </c>
    </row>
    <row r="445" spans="3:18" x14ac:dyDescent="0.2">
      <c r="C445" s="1" t="s">
        <v>40</v>
      </c>
      <c r="D445" s="1" t="s">
        <v>75</v>
      </c>
      <c r="E445" s="1"/>
      <c r="F445" s="1">
        <v>0</v>
      </c>
      <c r="G445" s="1"/>
      <c r="H445" s="1"/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/>
      <c r="Q445" s="1">
        <v>0</v>
      </c>
      <c r="R445" s="1">
        <v>0</v>
      </c>
    </row>
    <row r="446" spans="3:18" x14ac:dyDescent="0.2">
      <c r="C446" s="1" t="s">
        <v>41</v>
      </c>
      <c r="D446" s="1" t="s">
        <v>75</v>
      </c>
      <c r="E446" s="1"/>
      <c r="F446" s="1">
        <v>0</v>
      </c>
      <c r="G446" s="1"/>
      <c r="H446" s="1"/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/>
      <c r="Q446" s="1">
        <v>0</v>
      </c>
      <c r="R446" s="1">
        <v>0</v>
      </c>
    </row>
    <row r="447" spans="3:18" x14ac:dyDescent="0.2">
      <c r="C447" s="1" t="s">
        <v>42</v>
      </c>
      <c r="D447" s="1" t="s">
        <v>75</v>
      </c>
      <c r="E447" s="1"/>
      <c r="F447" s="1">
        <v>0</v>
      </c>
      <c r="G447" s="1"/>
      <c r="H447" s="1"/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/>
      <c r="Q447" s="1">
        <v>0</v>
      </c>
      <c r="R447" s="1">
        <v>0</v>
      </c>
    </row>
    <row r="448" spans="3:18" x14ac:dyDescent="0.2">
      <c r="C448" s="1" t="s">
        <v>43</v>
      </c>
      <c r="D448" s="1" t="s">
        <v>75</v>
      </c>
      <c r="E448" s="1"/>
      <c r="F448" s="1">
        <v>0</v>
      </c>
      <c r="G448" s="1"/>
      <c r="H448" s="1"/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/>
      <c r="Q448" s="1">
        <v>0</v>
      </c>
      <c r="R448" s="1">
        <v>0</v>
      </c>
    </row>
    <row r="449" spans="3:18" x14ac:dyDescent="0.2">
      <c r="C449" s="1" t="s">
        <v>44</v>
      </c>
      <c r="D449" s="1" t="s">
        <v>75</v>
      </c>
      <c r="E449" s="1"/>
      <c r="F449" s="1">
        <v>0</v>
      </c>
      <c r="G449" s="1"/>
      <c r="H449" s="1"/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/>
      <c r="Q449" s="1">
        <v>0</v>
      </c>
      <c r="R449" s="1">
        <v>0</v>
      </c>
    </row>
    <row r="450" spans="3:18" x14ac:dyDescent="0.2">
      <c r="C450" s="1" t="s">
        <v>45</v>
      </c>
      <c r="D450" s="1" t="s">
        <v>75</v>
      </c>
      <c r="E450" s="1"/>
      <c r="F450" s="1">
        <v>0</v>
      </c>
      <c r="G450" s="1"/>
      <c r="H450" s="1"/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/>
      <c r="Q450" s="1">
        <v>0</v>
      </c>
      <c r="R450" s="1">
        <v>0</v>
      </c>
    </row>
    <row r="451" spans="3:18" x14ac:dyDescent="0.2">
      <c r="C451" s="1" t="s">
        <v>46</v>
      </c>
      <c r="D451" s="1" t="s">
        <v>75</v>
      </c>
      <c r="E451" s="1"/>
      <c r="F451" s="1">
        <v>0</v>
      </c>
      <c r="G451" s="1"/>
      <c r="H451" s="1"/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/>
      <c r="Q451" s="1">
        <v>0</v>
      </c>
      <c r="R451" s="1">
        <v>0</v>
      </c>
    </row>
    <row r="452" spans="3:18" x14ac:dyDescent="0.2">
      <c r="C452" s="1" t="s">
        <v>47</v>
      </c>
      <c r="D452" s="1" t="s">
        <v>75</v>
      </c>
      <c r="E452" s="1"/>
      <c r="F452" s="1">
        <v>0</v>
      </c>
      <c r="G452" s="1"/>
      <c r="H452" s="1"/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/>
      <c r="Q452" s="1">
        <v>0</v>
      </c>
      <c r="R452" s="1">
        <v>0</v>
      </c>
    </row>
    <row r="453" spans="3:18" x14ac:dyDescent="0.2">
      <c r="C453" s="1" t="s">
        <v>48</v>
      </c>
      <c r="D453" s="1" t="s">
        <v>75</v>
      </c>
      <c r="E453" s="1"/>
      <c r="F453" s="1">
        <v>0</v>
      </c>
      <c r="G453" s="1"/>
      <c r="H453" s="1"/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/>
      <c r="Q453" s="1">
        <v>0</v>
      </c>
      <c r="R453" s="1">
        <v>0</v>
      </c>
    </row>
    <row r="454" spans="3:18" x14ac:dyDescent="0.2">
      <c r="C454" s="1" t="s">
        <v>49</v>
      </c>
      <c r="D454" s="1" t="s">
        <v>75</v>
      </c>
      <c r="E454" s="1"/>
      <c r="F454" s="1">
        <v>0</v>
      </c>
      <c r="G454" s="1"/>
      <c r="H454" s="1"/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/>
      <c r="Q454" s="1">
        <v>0</v>
      </c>
      <c r="R454" s="1">
        <v>0</v>
      </c>
    </row>
    <row r="455" spans="3:18" x14ac:dyDescent="0.2">
      <c r="C455" s="1" t="s">
        <v>50</v>
      </c>
      <c r="D455" s="1" t="s">
        <v>75</v>
      </c>
      <c r="E455" s="1"/>
      <c r="F455" s="1">
        <v>0</v>
      </c>
      <c r="G455" s="1"/>
      <c r="H455" s="1"/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/>
      <c r="Q455" s="1">
        <v>0</v>
      </c>
      <c r="R455" s="1">
        <v>0</v>
      </c>
    </row>
    <row r="456" spans="3:18" x14ac:dyDescent="0.2">
      <c r="C456" s="1" t="s">
        <v>51</v>
      </c>
      <c r="D456" s="1" t="s">
        <v>75</v>
      </c>
      <c r="E456" s="1"/>
      <c r="F456" s="1">
        <v>0</v>
      </c>
      <c r="G456" s="1"/>
      <c r="H456" s="1"/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/>
      <c r="Q456" s="1">
        <v>0</v>
      </c>
      <c r="R456" s="1">
        <v>0</v>
      </c>
    </row>
    <row r="457" spans="3:18" x14ac:dyDescent="0.2">
      <c r="C457" s="1" t="s">
        <v>52</v>
      </c>
      <c r="D457" s="1" t="s">
        <v>75</v>
      </c>
      <c r="E457" s="1"/>
      <c r="F457" s="1">
        <v>0</v>
      </c>
      <c r="G457" s="1"/>
      <c r="H457" s="1"/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/>
      <c r="Q457" s="1">
        <v>0</v>
      </c>
      <c r="R457" s="1">
        <v>0</v>
      </c>
    </row>
    <row r="458" spans="3:18" x14ac:dyDescent="0.2">
      <c r="C458" s="1" t="s">
        <v>53</v>
      </c>
      <c r="D458" s="1" t="s">
        <v>75</v>
      </c>
      <c r="E458" s="1"/>
      <c r="F458" s="1">
        <v>0</v>
      </c>
      <c r="G458" s="1"/>
      <c r="H458" s="1"/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/>
      <c r="Q458" s="1">
        <v>0</v>
      </c>
      <c r="R458" s="1">
        <v>0</v>
      </c>
    </row>
    <row r="459" spans="3:18" x14ac:dyDescent="0.2">
      <c r="C459" s="1" t="s">
        <v>54</v>
      </c>
      <c r="D459" s="1" t="s">
        <v>75</v>
      </c>
      <c r="E459" s="1"/>
      <c r="F459" s="1">
        <v>0</v>
      </c>
      <c r="G459" s="1"/>
      <c r="H459" s="1"/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/>
      <c r="Q459" s="1">
        <v>0</v>
      </c>
      <c r="R459" s="1">
        <v>0</v>
      </c>
    </row>
    <row r="460" spans="3:18" x14ac:dyDescent="0.2">
      <c r="C460" s="1" t="s">
        <v>55</v>
      </c>
      <c r="D460" s="1" t="s">
        <v>75</v>
      </c>
      <c r="E460" s="1"/>
      <c r="F460" s="1">
        <v>0</v>
      </c>
      <c r="G460" s="1"/>
      <c r="H460" s="1"/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/>
      <c r="Q460" s="1">
        <v>0</v>
      </c>
      <c r="R460" s="1">
        <v>0</v>
      </c>
    </row>
    <row r="461" spans="3:18" x14ac:dyDescent="0.2">
      <c r="C461" s="1" t="s">
        <v>56</v>
      </c>
      <c r="D461" s="1" t="s">
        <v>75</v>
      </c>
      <c r="E461" s="1"/>
      <c r="F461" s="1">
        <v>0</v>
      </c>
      <c r="G461" s="1"/>
      <c r="H461" s="1"/>
      <c r="I461" s="1">
        <v>0</v>
      </c>
      <c r="J461" s="1">
        <v>0</v>
      </c>
      <c r="K461" s="1">
        <v>0</v>
      </c>
      <c r="L461" s="1">
        <v>0</v>
      </c>
      <c r="M461" s="1">
        <v>0.72018537590113396</v>
      </c>
      <c r="N461" s="1">
        <v>0.72018537590113463</v>
      </c>
      <c r="O461" s="1">
        <v>0</v>
      </c>
      <c r="P461" s="1"/>
      <c r="Q461" s="1">
        <v>0</v>
      </c>
      <c r="R461" s="1">
        <v>0</v>
      </c>
    </row>
    <row r="462" spans="3:18" x14ac:dyDescent="0.2">
      <c r="C462" s="1" t="s">
        <v>57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3:18" x14ac:dyDescent="0.2">
      <c r="C463" s="1" t="s">
        <v>27</v>
      </c>
      <c r="D463" s="1"/>
      <c r="E463" s="1"/>
      <c r="F463" s="1">
        <v>0</v>
      </c>
      <c r="G463" s="1"/>
      <c r="H463" s="1"/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/>
      <c r="Q463" s="1">
        <v>0</v>
      </c>
      <c r="R463" s="1">
        <v>0</v>
      </c>
    </row>
    <row r="464" spans="3:18" x14ac:dyDescent="0.2">
      <c r="C464" s="1" t="s">
        <v>28</v>
      </c>
      <c r="D464" s="1"/>
      <c r="E464" s="1"/>
      <c r="F464" s="1">
        <v>0</v>
      </c>
      <c r="G464" s="1"/>
      <c r="H464" s="1"/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/>
      <c r="Q464" s="1">
        <v>0</v>
      </c>
      <c r="R464" s="1">
        <v>0</v>
      </c>
    </row>
    <row r="465" spans="3:18" x14ac:dyDescent="0.2">
      <c r="C465" s="1" t="s">
        <v>29</v>
      </c>
      <c r="D465" s="1"/>
      <c r="E465" s="1"/>
      <c r="F465" s="1">
        <v>0</v>
      </c>
      <c r="G465" s="1"/>
      <c r="H465" s="1"/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/>
      <c r="Q465" s="1">
        <v>0</v>
      </c>
      <c r="R465" s="1">
        <v>0</v>
      </c>
    </row>
    <row r="466" spans="3:18" x14ac:dyDescent="0.2">
      <c r="C466" s="1" t="s">
        <v>30</v>
      </c>
      <c r="D466" s="1"/>
      <c r="E466" s="1"/>
      <c r="F466" s="1">
        <v>0</v>
      </c>
      <c r="G466" s="1"/>
      <c r="H466" s="1"/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/>
      <c r="Q466" s="1">
        <v>0</v>
      </c>
      <c r="R466" s="1">
        <v>0</v>
      </c>
    </row>
    <row r="467" spans="3:18" x14ac:dyDescent="0.2">
      <c r="C467" s="1" t="s">
        <v>31</v>
      </c>
      <c r="D467" s="1"/>
      <c r="E467" s="1"/>
      <c r="F467" s="1">
        <v>0</v>
      </c>
      <c r="G467" s="1"/>
      <c r="H467" s="1"/>
      <c r="I467" s="1">
        <v>1</v>
      </c>
      <c r="J467" s="1">
        <v>1</v>
      </c>
      <c r="K467" s="1">
        <v>1</v>
      </c>
      <c r="L467" s="1">
        <v>0</v>
      </c>
      <c r="M467" s="1">
        <v>0</v>
      </c>
      <c r="N467" s="1">
        <v>0.43348285282416399</v>
      </c>
      <c r="O467" s="1">
        <v>1</v>
      </c>
      <c r="P467" s="1"/>
      <c r="Q467" s="1">
        <v>0.99697583693712799</v>
      </c>
      <c r="R467" s="1">
        <v>1</v>
      </c>
    </row>
    <row r="468" spans="3:18" x14ac:dyDescent="0.2">
      <c r="C468" s="1" t="s">
        <v>32</v>
      </c>
      <c r="D468" s="1"/>
      <c r="E468" s="1"/>
      <c r="F468" s="1">
        <v>0</v>
      </c>
      <c r="G468" s="1"/>
      <c r="H468" s="1"/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/>
      <c r="Q468" s="1">
        <v>0</v>
      </c>
      <c r="R468" s="1">
        <v>0</v>
      </c>
    </row>
    <row r="469" spans="3:18" x14ac:dyDescent="0.2">
      <c r="C469" s="1" t="s">
        <v>33</v>
      </c>
      <c r="D469" s="1"/>
      <c r="E469" s="1"/>
      <c r="F469" s="1">
        <v>0</v>
      </c>
      <c r="G469" s="1"/>
      <c r="H469" s="1"/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/>
      <c r="Q469" s="1">
        <v>0</v>
      </c>
      <c r="R469" s="1">
        <v>0</v>
      </c>
    </row>
    <row r="470" spans="3:18" x14ac:dyDescent="0.2">
      <c r="C470" s="1" t="s">
        <v>34</v>
      </c>
      <c r="D470" s="1"/>
      <c r="E470" s="1"/>
      <c r="F470" s="1">
        <v>0</v>
      </c>
      <c r="G470" s="1"/>
      <c r="H470" s="1"/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/>
      <c r="Q470" s="1">
        <v>0</v>
      </c>
      <c r="R470" s="1">
        <v>0</v>
      </c>
    </row>
    <row r="471" spans="3:18" x14ac:dyDescent="0.2">
      <c r="C471" s="1" t="s">
        <v>35</v>
      </c>
      <c r="D471" s="1"/>
      <c r="E471" s="1"/>
      <c r="F471" s="1">
        <v>0</v>
      </c>
      <c r="G471" s="1"/>
      <c r="H471" s="1"/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/>
      <c r="Q471" s="1">
        <v>0</v>
      </c>
      <c r="R471" s="1">
        <v>0</v>
      </c>
    </row>
    <row r="472" spans="3:18" x14ac:dyDescent="0.2">
      <c r="C472" s="1" t="s">
        <v>36</v>
      </c>
      <c r="D472" s="1"/>
      <c r="E472" s="1"/>
      <c r="F472" s="1">
        <v>0</v>
      </c>
      <c r="G472" s="1"/>
      <c r="H472" s="1"/>
      <c r="I472" s="1">
        <v>0</v>
      </c>
      <c r="J472" s="1">
        <v>0</v>
      </c>
      <c r="K472" s="1">
        <v>0</v>
      </c>
      <c r="L472" s="1">
        <v>0</v>
      </c>
      <c r="M472" s="1">
        <v>0.15</v>
      </c>
      <c r="N472" s="1">
        <v>8.4977572076375393E-2</v>
      </c>
      <c r="O472" s="1">
        <v>0</v>
      </c>
      <c r="P472" s="1"/>
      <c r="Q472" s="1">
        <v>0</v>
      </c>
      <c r="R472" s="1">
        <v>0</v>
      </c>
    </row>
    <row r="473" spans="3:18" x14ac:dyDescent="0.2">
      <c r="C473" s="1" t="s">
        <v>37</v>
      </c>
      <c r="D473" s="1"/>
      <c r="E473" s="1"/>
      <c r="F473" s="1">
        <v>0</v>
      </c>
      <c r="G473" s="1"/>
      <c r="H473" s="1"/>
      <c r="I473" s="1">
        <v>0</v>
      </c>
      <c r="J473" s="1">
        <v>0</v>
      </c>
      <c r="K473" s="1">
        <v>0</v>
      </c>
      <c r="L473" s="1">
        <v>0</v>
      </c>
      <c r="M473" s="1">
        <v>0.15</v>
      </c>
      <c r="N473" s="1">
        <v>8.4977572076375393E-2</v>
      </c>
      <c r="O473" s="1">
        <v>0</v>
      </c>
      <c r="P473" s="1"/>
      <c r="Q473" s="1">
        <v>0</v>
      </c>
      <c r="R473" s="1">
        <v>0</v>
      </c>
    </row>
    <row r="474" spans="3:18" x14ac:dyDescent="0.2">
      <c r="C474" s="1" t="s">
        <v>38</v>
      </c>
      <c r="D474" s="1"/>
      <c r="E474" s="1"/>
      <c r="F474" s="1">
        <v>1</v>
      </c>
      <c r="G474" s="1"/>
      <c r="H474" s="1"/>
      <c r="I474" s="1">
        <v>0</v>
      </c>
      <c r="J474" s="1">
        <v>0</v>
      </c>
      <c r="K474" s="1">
        <v>0</v>
      </c>
      <c r="L474" s="1">
        <v>1</v>
      </c>
      <c r="M474" s="1">
        <v>0</v>
      </c>
      <c r="N474" s="1">
        <v>0</v>
      </c>
      <c r="O474" s="1">
        <v>0</v>
      </c>
      <c r="P474" s="1"/>
      <c r="Q474" s="1">
        <v>3.0241630628716301E-3</v>
      </c>
      <c r="R474" s="1">
        <v>0</v>
      </c>
    </row>
    <row r="475" spans="3:18" x14ac:dyDescent="0.2">
      <c r="C475" s="1" t="s">
        <v>39</v>
      </c>
      <c r="D475" s="1"/>
      <c r="E475" s="1"/>
      <c r="F475" s="1">
        <v>0</v>
      </c>
      <c r="G475" s="1"/>
      <c r="H475" s="1"/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/>
      <c r="Q475" s="1">
        <v>0</v>
      </c>
      <c r="R475" s="1">
        <v>0</v>
      </c>
    </row>
    <row r="476" spans="3:18" x14ac:dyDescent="0.2">
      <c r="C476" s="1" t="s">
        <v>40</v>
      </c>
      <c r="D476" s="1"/>
      <c r="E476" s="1"/>
      <c r="F476" s="1">
        <v>0</v>
      </c>
      <c r="G476" s="1"/>
      <c r="H476" s="1"/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/>
      <c r="Q476" s="1">
        <v>0</v>
      </c>
      <c r="R476" s="1">
        <v>0</v>
      </c>
    </row>
    <row r="477" spans="3:18" x14ac:dyDescent="0.2">
      <c r="C477" s="1" t="s">
        <v>41</v>
      </c>
      <c r="D477" s="1"/>
      <c r="E477" s="1"/>
      <c r="F477" s="1">
        <v>0</v>
      </c>
      <c r="G477" s="1"/>
      <c r="H477" s="1"/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/>
      <c r="Q477" s="1">
        <v>0</v>
      </c>
      <c r="R477" s="1">
        <v>0</v>
      </c>
    </row>
    <row r="478" spans="3:18" x14ac:dyDescent="0.2">
      <c r="C478" s="1" t="s">
        <v>42</v>
      </c>
      <c r="D478" s="1"/>
      <c r="E478" s="1"/>
      <c r="F478" s="1">
        <v>0</v>
      </c>
      <c r="G478" s="1"/>
      <c r="H478" s="1"/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/>
      <c r="Q478" s="1">
        <v>0</v>
      </c>
      <c r="R478" s="1">
        <v>0</v>
      </c>
    </row>
    <row r="479" spans="3:18" x14ac:dyDescent="0.2">
      <c r="C479" s="1" t="s">
        <v>43</v>
      </c>
      <c r="D479" s="1"/>
      <c r="E479" s="1"/>
      <c r="F479" s="1">
        <v>0</v>
      </c>
      <c r="G479" s="1"/>
      <c r="H479" s="1"/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/>
      <c r="Q479" s="1">
        <v>0</v>
      </c>
      <c r="R479" s="1">
        <v>0</v>
      </c>
    </row>
    <row r="480" spans="3:18" x14ac:dyDescent="0.2">
      <c r="C480" s="1" t="s">
        <v>44</v>
      </c>
      <c r="D480" s="1"/>
      <c r="E480" s="1"/>
      <c r="F480" s="1">
        <v>0</v>
      </c>
      <c r="G480" s="1"/>
      <c r="H480" s="1"/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/>
      <c r="Q480" s="1">
        <v>0</v>
      </c>
      <c r="R480" s="1">
        <v>0</v>
      </c>
    </row>
    <row r="481" spans="3:18" x14ac:dyDescent="0.2">
      <c r="C481" s="1" t="s">
        <v>45</v>
      </c>
      <c r="D481" s="1"/>
      <c r="E481" s="1"/>
      <c r="F481" s="1">
        <v>0</v>
      </c>
      <c r="G481" s="1"/>
      <c r="H481" s="1"/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/>
      <c r="Q481" s="1">
        <v>0</v>
      </c>
      <c r="R481" s="1">
        <v>0</v>
      </c>
    </row>
    <row r="482" spans="3:18" x14ac:dyDescent="0.2">
      <c r="C482" s="1" t="s">
        <v>46</v>
      </c>
      <c r="D482" s="1"/>
      <c r="E482" s="1"/>
      <c r="F482" s="1">
        <v>0</v>
      </c>
      <c r="G482" s="1"/>
      <c r="H482" s="1"/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/>
      <c r="Q482" s="1">
        <v>0</v>
      </c>
      <c r="R482" s="1">
        <v>0</v>
      </c>
    </row>
    <row r="483" spans="3:18" x14ac:dyDescent="0.2">
      <c r="C483" s="1" t="s">
        <v>47</v>
      </c>
      <c r="D483" s="1"/>
      <c r="E483" s="1"/>
      <c r="F483" s="1">
        <v>0</v>
      </c>
      <c r="G483" s="1"/>
      <c r="H483" s="1"/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/>
      <c r="Q483" s="1">
        <v>0</v>
      </c>
      <c r="R483" s="1">
        <v>0</v>
      </c>
    </row>
    <row r="484" spans="3:18" x14ac:dyDescent="0.2">
      <c r="C484" s="1" t="s">
        <v>48</v>
      </c>
      <c r="D484" s="1"/>
      <c r="E484" s="1"/>
      <c r="F484" s="1">
        <v>0</v>
      </c>
      <c r="G484" s="1"/>
      <c r="H484" s="1"/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/>
      <c r="Q484" s="1">
        <v>0</v>
      </c>
      <c r="R484" s="1">
        <v>0</v>
      </c>
    </row>
    <row r="485" spans="3:18" x14ac:dyDescent="0.2">
      <c r="C485" s="1" t="s">
        <v>49</v>
      </c>
      <c r="D485" s="1"/>
      <c r="E485" s="1"/>
      <c r="F485" s="1">
        <v>0</v>
      </c>
      <c r="G485" s="1"/>
      <c r="H485" s="1"/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/>
      <c r="Q485" s="1">
        <v>0</v>
      </c>
      <c r="R485" s="1">
        <v>0</v>
      </c>
    </row>
    <row r="486" spans="3:18" x14ac:dyDescent="0.2">
      <c r="C486" s="1" t="s">
        <v>50</v>
      </c>
      <c r="D486" s="1"/>
      <c r="E486" s="1"/>
      <c r="F486" s="1">
        <v>0</v>
      </c>
      <c r="G486" s="1"/>
      <c r="H486" s="1"/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/>
      <c r="Q486" s="1">
        <v>0</v>
      </c>
      <c r="R486" s="1">
        <v>0</v>
      </c>
    </row>
    <row r="487" spans="3:18" x14ac:dyDescent="0.2">
      <c r="C487" s="1" t="s">
        <v>51</v>
      </c>
      <c r="D487" s="1"/>
      <c r="E487" s="1"/>
      <c r="F487" s="1">
        <v>0</v>
      </c>
      <c r="G487" s="1"/>
      <c r="H487" s="1"/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/>
      <c r="Q487" s="1">
        <v>0</v>
      </c>
      <c r="R487" s="1">
        <v>0</v>
      </c>
    </row>
    <row r="488" spans="3:18" x14ac:dyDescent="0.2">
      <c r="C488" s="1" t="s">
        <v>52</v>
      </c>
      <c r="D488" s="1"/>
      <c r="E488" s="1"/>
      <c r="F488" s="1">
        <v>0</v>
      </c>
      <c r="G488" s="1"/>
      <c r="H488" s="1"/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/>
      <c r="Q488" s="1">
        <v>0</v>
      </c>
      <c r="R488" s="1">
        <v>0</v>
      </c>
    </row>
    <row r="489" spans="3:18" x14ac:dyDescent="0.2">
      <c r="C489" s="1" t="s">
        <v>53</v>
      </c>
      <c r="D489" s="1"/>
      <c r="E489" s="1"/>
      <c r="F489" s="1">
        <v>0</v>
      </c>
      <c r="G489" s="1"/>
      <c r="H489" s="1"/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/>
      <c r="Q489" s="1">
        <v>0</v>
      </c>
      <c r="R489" s="1">
        <v>0</v>
      </c>
    </row>
    <row r="490" spans="3:18" x14ac:dyDescent="0.2">
      <c r="C490" s="1" t="s">
        <v>54</v>
      </c>
      <c r="D490" s="1"/>
      <c r="E490" s="1"/>
      <c r="F490" s="1">
        <v>0</v>
      </c>
      <c r="G490" s="1"/>
      <c r="H490" s="1"/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/>
      <c r="Q490" s="1">
        <v>0</v>
      </c>
      <c r="R490" s="1">
        <v>0</v>
      </c>
    </row>
    <row r="491" spans="3:18" x14ac:dyDescent="0.2">
      <c r="C491" s="1" t="s">
        <v>55</v>
      </c>
      <c r="D491" s="1"/>
      <c r="E491" s="1"/>
      <c r="F491" s="1">
        <v>0</v>
      </c>
      <c r="G491" s="1"/>
      <c r="H491" s="1"/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/>
      <c r="Q491" s="1">
        <v>0</v>
      </c>
      <c r="R491" s="1">
        <v>0</v>
      </c>
    </row>
    <row r="492" spans="3:18" x14ac:dyDescent="0.2">
      <c r="C492" s="1" t="s">
        <v>56</v>
      </c>
      <c r="D492" s="1"/>
      <c r="E492" s="1"/>
      <c r="F492" s="1">
        <v>0</v>
      </c>
      <c r="G492" s="1"/>
      <c r="H492" s="1"/>
      <c r="I492" s="1">
        <v>0</v>
      </c>
      <c r="J492" s="1">
        <v>0</v>
      </c>
      <c r="K492" s="1">
        <v>0</v>
      </c>
      <c r="L492" s="1">
        <v>0</v>
      </c>
      <c r="M492" s="1">
        <v>0.7</v>
      </c>
      <c r="N492" s="1">
        <v>0.39656200302308497</v>
      </c>
      <c r="O492" s="1">
        <v>0</v>
      </c>
      <c r="P492" s="1"/>
      <c r="Q492" s="1">
        <v>0</v>
      </c>
      <c r="R492" s="1">
        <v>0</v>
      </c>
    </row>
    <row r="493" spans="3:18" x14ac:dyDescent="0.2">
      <c r="C493" s="1" t="s">
        <v>58</v>
      </c>
      <c r="D493" s="1" t="s">
        <v>76</v>
      </c>
      <c r="E493" s="1"/>
      <c r="F493" s="1">
        <v>9.9999999999976247E-2</v>
      </c>
      <c r="G493" s="1"/>
      <c r="H493" s="1"/>
      <c r="I493" s="1">
        <v>18.853003015241999</v>
      </c>
      <c r="J493" s="1">
        <v>71.481736883172189</v>
      </c>
      <c r="K493" s="1">
        <v>60.000000000000078</v>
      </c>
      <c r="L493" s="1">
        <v>100</v>
      </c>
      <c r="M493" s="1">
        <v>94.836446068486254</v>
      </c>
      <c r="N493" s="1">
        <v>113.68944908372846</v>
      </c>
      <c r="O493" s="1">
        <v>71.481736883172189</v>
      </c>
      <c r="P493" s="1"/>
      <c r="Q493" s="1">
        <v>8.2308437155509786</v>
      </c>
      <c r="R493" s="1">
        <v>8.1308437155510056</v>
      </c>
    </row>
    <row r="494" spans="3:18" x14ac:dyDescent="0.2">
      <c r="C494" s="1" t="s">
        <v>27</v>
      </c>
      <c r="D494" s="1" t="s">
        <v>76</v>
      </c>
      <c r="E494" s="1"/>
      <c r="F494" s="1">
        <v>0</v>
      </c>
      <c r="G494" s="1"/>
      <c r="H494" s="1"/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/>
      <c r="Q494" s="1">
        <v>0</v>
      </c>
      <c r="R494" s="1">
        <v>0</v>
      </c>
    </row>
    <row r="495" spans="3:18" x14ac:dyDescent="0.2">
      <c r="C495" s="1" t="s">
        <v>28</v>
      </c>
      <c r="D495" s="1" t="s">
        <v>76</v>
      </c>
      <c r="E495" s="1"/>
      <c r="F495" s="1">
        <v>0</v>
      </c>
      <c r="G495" s="1"/>
      <c r="H495" s="1"/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/>
      <c r="Q495" s="1">
        <v>0</v>
      </c>
      <c r="R495" s="1">
        <v>0</v>
      </c>
    </row>
    <row r="496" spans="3:18" x14ac:dyDescent="0.2">
      <c r="C496" s="1" t="s">
        <v>29</v>
      </c>
      <c r="D496" s="1" t="s">
        <v>76</v>
      </c>
      <c r="E496" s="1"/>
      <c r="F496" s="1">
        <v>0</v>
      </c>
      <c r="G496" s="1"/>
      <c r="H496" s="1"/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/>
      <c r="Q496" s="1">
        <v>0</v>
      </c>
      <c r="R496" s="1">
        <v>0</v>
      </c>
    </row>
    <row r="497" spans="3:18" x14ac:dyDescent="0.2">
      <c r="C497" s="1" t="s">
        <v>30</v>
      </c>
      <c r="D497" s="1" t="s">
        <v>76</v>
      </c>
      <c r="E497" s="1"/>
      <c r="F497" s="1">
        <v>0</v>
      </c>
      <c r="G497" s="1"/>
      <c r="H497" s="1"/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/>
      <c r="Q497" s="1">
        <v>0</v>
      </c>
      <c r="R497" s="1">
        <v>0</v>
      </c>
    </row>
    <row r="498" spans="3:18" x14ac:dyDescent="0.2">
      <c r="C498" s="1" t="s">
        <v>31</v>
      </c>
      <c r="D498" s="1" t="s">
        <v>76</v>
      </c>
      <c r="E498" s="1"/>
      <c r="F498" s="1">
        <v>0</v>
      </c>
      <c r="G498" s="1"/>
      <c r="H498" s="1"/>
      <c r="I498" s="1">
        <v>18.853003015241999</v>
      </c>
      <c r="J498" s="1">
        <v>71.481736883172189</v>
      </c>
      <c r="K498" s="1">
        <v>60.000000000000078</v>
      </c>
      <c r="L498" s="1">
        <v>0</v>
      </c>
      <c r="M498" s="1">
        <v>0</v>
      </c>
      <c r="N498" s="1">
        <v>18.853003015242074</v>
      </c>
      <c r="O498" s="1">
        <v>71.481736883172189</v>
      </c>
      <c r="P498" s="1"/>
      <c r="Q498" s="1">
        <v>8.1308437155510038</v>
      </c>
      <c r="R498" s="1">
        <v>8.1308437155510056</v>
      </c>
    </row>
    <row r="499" spans="3:18" x14ac:dyDescent="0.2">
      <c r="C499" s="1" t="s">
        <v>32</v>
      </c>
      <c r="D499" s="1" t="s">
        <v>76</v>
      </c>
      <c r="E499" s="1"/>
      <c r="F499" s="1">
        <v>0</v>
      </c>
      <c r="G499" s="1"/>
      <c r="H499" s="1"/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/>
      <c r="Q499" s="1">
        <v>0</v>
      </c>
      <c r="R499" s="1">
        <v>0</v>
      </c>
    </row>
    <row r="500" spans="3:18" x14ac:dyDescent="0.2">
      <c r="C500" s="1" t="s">
        <v>33</v>
      </c>
      <c r="D500" s="1" t="s">
        <v>76</v>
      </c>
      <c r="E500" s="1"/>
      <c r="F500" s="1">
        <v>0</v>
      </c>
      <c r="G500" s="1"/>
      <c r="H500" s="1"/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/>
      <c r="Q500" s="1">
        <v>0</v>
      </c>
      <c r="R500" s="1">
        <v>0</v>
      </c>
    </row>
    <row r="501" spans="3:18" x14ac:dyDescent="0.2">
      <c r="C501" s="1" t="s">
        <v>34</v>
      </c>
      <c r="D501" s="1" t="s">
        <v>76</v>
      </c>
      <c r="E501" s="1"/>
      <c r="F501" s="1">
        <v>0</v>
      </c>
      <c r="G501" s="1"/>
      <c r="H501" s="1"/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/>
      <c r="Q501" s="1">
        <v>0</v>
      </c>
      <c r="R501" s="1">
        <v>0</v>
      </c>
    </row>
    <row r="502" spans="3:18" x14ac:dyDescent="0.2">
      <c r="C502" s="1" t="s">
        <v>35</v>
      </c>
      <c r="D502" s="1" t="s">
        <v>76</v>
      </c>
      <c r="E502" s="1"/>
      <c r="F502" s="1">
        <v>0</v>
      </c>
      <c r="G502" s="1"/>
      <c r="H502" s="1"/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/>
      <c r="Q502" s="1">
        <v>0</v>
      </c>
      <c r="R502" s="1">
        <v>0</v>
      </c>
    </row>
    <row r="503" spans="3:18" x14ac:dyDescent="0.2">
      <c r="C503" s="1" t="s">
        <v>36</v>
      </c>
      <c r="D503" s="1" t="s">
        <v>76</v>
      </c>
      <c r="E503" s="1"/>
      <c r="F503" s="1">
        <v>0</v>
      </c>
      <c r="G503" s="1"/>
      <c r="H503" s="1"/>
      <c r="I503" s="1">
        <v>0</v>
      </c>
      <c r="J503" s="1">
        <v>0</v>
      </c>
      <c r="K503" s="1">
        <v>0</v>
      </c>
      <c r="L503" s="1">
        <v>0</v>
      </c>
      <c r="M503" s="1">
        <v>14.344222263645795</v>
      </c>
      <c r="N503" s="1">
        <v>14.34422226364582</v>
      </c>
      <c r="O503" s="1">
        <v>0</v>
      </c>
      <c r="P503" s="1"/>
      <c r="Q503" s="1">
        <v>0</v>
      </c>
      <c r="R503" s="1">
        <v>0</v>
      </c>
    </row>
    <row r="504" spans="3:18" x14ac:dyDescent="0.2">
      <c r="C504" s="1" t="s">
        <v>37</v>
      </c>
      <c r="D504" s="1" t="s">
        <v>76</v>
      </c>
      <c r="E504" s="1"/>
      <c r="F504" s="1">
        <v>0</v>
      </c>
      <c r="G504" s="1"/>
      <c r="H504" s="1"/>
      <c r="I504" s="1">
        <v>0</v>
      </c>
      <c r="J504" s="1">
        <v>0</v>
      </c>
      <c r="K504" s="1">
        <v>0</v>
      </c>
      <c r="L504" s="1">
        <v>0</v>
      </c>
      <c r="M504" s="1">
        <v>13.727668991246166</v>
      </c>
      <c r="N504" s="1">
        <v>13.727668991246142</v>
      </c>
      <c r="O504" s="1">
        <v>0</v>
      </c>
      <c r="P504" s="1"/>
      <c r="Q504" s="1">
        <v>0</v>
      </c>
      <c r="R504" s="1">
        <v>0</v>
      </c>
    </row>
    <row r="505" spans="3:18" x14ac:dyDescent="0.2">
      <c r="C505" s="1" t="s">
        <v>38</v>
      </c>
      <c r="D505" s="1" t="s">
        <v>76</v>
      </c>
      <c r="E505" s="1"/>
      <c r="F505" s="1">
        <v>9.9999999999976247E-2</v>
      </c>
      <c r="G505" s="1"/>
      <c r="H505" s="1"/>
      <c r="I505" s="1">
        <v>0</v>
      </c>
      <c r="J505" s="1">
        <v>0</v>
      </c>
      <c r="K505" s="1">
        <v>0</v>
      </c>
      <c r="L505" s="1">
        <v>100</v>
      </c>
      <c r="M505" s="1">
        <v>0</v>
      </c>
      <c r="N505" s="1">
        <v>0</v>
      </c>
      <c r="O505" s="1">
        <v>0</v>
      </c>
      <c r="P505" s="1"/>
      <c r="Q505" s="1">
        <v>9.999999999997615E-2</v>
      </c>
      <c r="R505" s="1">
        <v>0</v>
      </c>
    </row>
    <row r="506" spans="3:18" x14ac:dyDescent="0.2">
      <c r="C506" s="1" t="s">
        <v>39</v>
      </c>
      <c r="D506" s="1" t="s">
        <v>76</v>
      </c>
      <c r="E506" s="1"/>
      <c r="F506" s="1">
        <v>0</v>
      </c>
      <c r="G506" s="1"/>
      <c r="H506" s="1"/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/>
      <c r="Q506" s="1">
        <v>0</v>
      </c>
      <c r="R506" s="1">
        <v>0</v>
      </c>
    </row>
    <row r="507" spans="3:18" x14ac:dyDescent="0.2">
      <c r="C507" s="1" t="s">
        <v>40</v>
      </c>
      <c r="D507" s="1" t="s">
        <v>76</v>
      </c>
      <c r="E507" s="1"/>
      <c r="F507" s="1">
        <v>0</v>
      </c>
      <c r="G507" s="1"/>
      <c r="H507" s="1"/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/>
      <c r="Q507" s="1">
        <v>0</v>
      </c>
      <c r="R507" s="1">
        <v>0</v>
      </c>
    </row>
    <row r="508" spans="3:18" x14ac:dyDescent="0.2">
      <c r="C508" s="1" t="s">
        <v>41</v>
      </c>
      <c r="D508" s="1" t="s">
        <v>76</v>
      </c>
      <c r="E508" s="1"/>
      <c r="F508" s="1">
        <v>0</v>
      </c>
      <c r="G508" s="1"/>
      <c r="H508" s="1"/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/>
      <c r="Q508" s="1">
        <v>0</v>
      </c>
      <c r="R508" s="1">
        <v>0</v>
      </c>
    </row>
    <row r="509" spans="3:18" x14ac:dyDescent="0.2">
      <c r="C509" s="1" t="s">
        <v>42</v>
      </c>
      <c r="D509" s="1" t="s">
        <v>76</v>
      </c>
      <c r="E509" s="1"/>
      <c r="F509" s="1">
        <v>0</v>
      </c>
      <c r="G509" s="1"/>
      <c r="H509" s="1"/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/>
      <c r="Q509" s="1">
        <v>0</v>
      </c>
      <c r="R509" s="1">
        <v>0</v>
      </c>
    </row>
    <row r="510" spans="3:18" x14ac:dyDescent="0.2">
      <c r="C510" s="1" t="s">
        <v>43</v>
      </c>
      <c r="D510" s="1" t="s">
        <v>76</v>
      </c>
      <c r="E510" s="1"/>
      <c r="F510" s="1">
        <v>0</v>
      </c>
      <c r="G510" s="1"/>
      <c r="H510" s="1"/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/>
      <c r="Q510" s="1">
        <v>0</v>
      </c>
      <c r="R510" s="1">
        <v>0</v>
      </c>
    </row>
    <row r="511" spans="3:18" x14ac:dyDescent="0.2">
      <c r="C511" s="1" t="s">
        <v>44</v>
      </c>
      <c r="D511" s="1" t="s">
        <v>76</v>
      </c>
      <c r="E511" s="1"/>
      <c r="F511" s="1">
        <v>0</v>
      </c>
      <c r="G511" s="1"/>
      <c r="H511" s="1"/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/>
      <c r="Q511" s="1">
        <v>0</v>
      </c>
      <c r="R511" s="1">
        <v>0</v>
      </c>
    </row>
    <row r="512" spans="3:18" x14ac:dyDescent="0.2">
      <c r="C512" s="1" t="s">
        <v>45</v>
      </c>
      <c r="D512" s="1" t="s">
        <v>76</v>
      </c>
      <c r="E512" s="1"/>
      <c r="F512" s="1">
        <v>0</v>
      </c>
      <c r="G512" s="1"/>
      <c r="H512" s="1"/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/>
      <c r="Q512" s="1">
        <v>0</v>
      </c>
      <c r="R512" s="1">
        <v>0</v>
      </c>
    </row>
    <row r="513" spans="3:18" x14ac:dyDescent="0.2">
      <c r="C513" s="1" t="s">
        <v>46</v>
      </c>
      <c r="D513" s="1" t="s">
        <v>76</v>
      </c>
      <c r="E513" s="1"/>
      <c r="F513" s="1">
        <v>0</v>
      </c>
      <c r="G513" s="1"/>
      <c r="H513" s="1"/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/>
      <c r="Q513" s="1">
        <v>0</v>
      </c>
      <c r="R513" s="1">
        <v>0</v>
      </c>
    </row>
    <row r="514" spans="3:18" x14ac:dyDescent="0.2">
      <c r="C514" s="1" t="s">
        <v>47</v>
      </c>
      <c r="D514" s="1" t="s">
        <v>76</v>
      </c>
      <c r="E514" s="1"/>
      <c r="F514" s="1">
        <v>0</v>
      </c>
      <c r="G514" s="1"/>
      <c r="H514" s="1"/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/>
      <c r="Q514" s="1">
        <v>0</v>
      </c>
      <c r="R514" s="1">
        <v>0</v>
      </c>
    </row>
    <row r="515" spans="3:18" x14ac:dyDescent="0.2">
      <c r="C515" s="1" t="s">
        <v>48</v>
      </c>
      <c r="D515" s="1" t="s">
        <v>76</v>
      </c>
      <c r="E515" s="1"/>
      <c r="F515" s="1">
        <v>0</v>
      </c>
      <c r="G515" s="1"/>
      <c r="H515" s="1"/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/>
      <c r="Q515" s="1">
        <v>0</v>
      </c>
      <c r="R515" s="1">
        <v>0</v>
      </c>
    </row>
    <row r="516" spans="3:18" x14ac:dyDescent="0.2">
      <c r="C516" s="1" t="s">
        <v>49</v>
      </c>
      <c r="D516" s="1" t="s">
        <v>76</v>
      </c>
      <c r="E516" s="1"/>
      <c r="F516" s="1">
        <v>0</v>
      </c>
      <c r="G516" s="1"/>
      <c r="H516" s="1"/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/>
      <c r="Q516" s="1">
        <v>0</v>
      </c>
      <c r="R516" s="1">
        <v>0</v>
      </c>
    </row>
    <row r="517" spans="3:18" x14ac:dyDescent="0.2">
      <c r="C517" s="1" t="s">
        <v>50</v>
      </c>
      <c r="D517" s="1" t="s">
        <v>76</v>
      </c>
      <c r="E517" s="1"/>
      <c r="F517" s="1">
        <v>0</v>
      </c>
      <c r="G517" s="1"/>
      <c r="H517" s="1"/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/>
      <c r="Q517" s="1">
        <v>0</v>
      </c>
      <c r="R517" s="1">
        <v>0</v>
      </c>
    </row>
    <row r="518" spans="3:18" x14ac:dyDescent="0.2">
      <c r="C518" s="1" t="s">
        <v>51</v>
      </c>
      <c r="D518" s="1" t="s">
        <v>76</v>
      </c>
      <c r="E518" s="1"/>
      <c r="F518" s="1">
        <v>0</v>
      </c>
      <c r="G518" s="1"/>
      <c r="H518" s="1"/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/>
      <c r="Q518" s="1">
        <v>0</v>
      </c>
      <c r="R518" s="1">
        <v>0</v>
      </c>
    </row>
    <row r="519" spans="3:18" x14ac:dyDescent="0.2">
      <c r="C519" s="1" t="s">
        <v>52</v>
      </c>
      <c r="D519" s="1" t="s">
        <v>76</v>
      </c>
      <c r="E519" s="1"/>
      <c r="F519" s="1">
        <v>0</v>
      </c>
      <c r="G519" s="1"/>
      <c r="H519" s="1"/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/>
      <c r="Q519" s="1">
        <v>0</v>
      </c>
      <c r="R519" s="1">
        <v>0</v>
      </c>
    </row>
    <row r="520" spans="3:18" x14ac:dyDescent="0.2">
      <c r="C520" s="1" t="s">
        <v>53</v>
      </c>
      <c r="D520" s="1" t="s">
        <v>76</v>
      </c>
      <c r="E520" s="1"/>
      <c r="F520" s="1">
        <v>0</v>
      </c>
      <c r="G520" s="1"/>
      <c r="H520" s="1"/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/>
      <c r="Q520" s="1">
        <v>0</v>
      </c>
      <c r="R520" s="1">
        <v>0</v>
      </c>
    </row>
    <row r="521" spans="3:18" x14ac:dyDescent="0.2">
      <c r="C521" s="1" t="s">
        <v>54</v>
      </c>
      <c r="D521" s="1" t="s">
        <v>76</v>
      </c>
      <c r="E521" s="1"/>
      <c r="F521" s="1">
        <v>0</v>
      </c>
      <c r="G521" s="1"/>
      <c r="H521" s="1"/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/>
      <c r="Q521" s="1">
        <v>0</v>
      </c>
      <c r="R521" s="1">
        <v>0</v>
      </c>
    </row>
    <row r="522" spans="3:18" x14ac:dyDescent="0.2">
      <c r="C522" s="1" t="s">
        <v>55</v>
      </c>
      <c r="D522" s="1" t="s">
        <v>76</v>
      </c>
      <c r="E522" s="1"/>
      <c r="F522" s="1">
        <v>0</v>
      </c>
      <c r="G522" s="1"/>
      <c r="H522" s="1"/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/>
      <c r="Q522" s="1">
        <v>0</v>
      </c>
      <c r="R522" s="1">
        <v>0</v>
      </c>
    </row>
    <row r="523" spans="3:18" x14ac:dyDescent="0.2">
      <c r="C523" s="1" t="s">
        <v>56</v>
      </c>
      <c r="D523" s="1" t="s">
        <v>76</v>
      </c>
      <c r="E523" s="1"/>
      <c r="F523" s="1">
        <v>0</v>
      </c>
      <c r="G523" s="1"/>
      <c r="H523" s="1"/>
      <c r="I523" s="1">
        <v>0</v>
      </c>
      <c r="J523" s="1">
        <v>0</v>
      </c>
      <c r="K523" s="1">
        <v>0</v>
      </c>
      <c r="L523" s="1">
        <v>0</v>
      </c>
      <c r="M523" s="1">
        <v>66.764554813594287</v>
      </c>
      <c r="N523" s="1">
        <v>66.764554813594444</v>
      </c>
      <c r="O523" s="1">
        <v>0</v>
      </c>
      <c r="P523" s="1"/>
      <c r="Q523" s="1">
        <v>0</v>
      </c>
      <c r="R523" s="1">
        <v>0</v>
      </c>
    </row>
    <row r="524" spans="3:18" x14ac:dyDescent="0.2">
      <c r="C524" s="1" t="s">
        <v>59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3:18" x14ac:dyDescent="0.2">
      <c r="C525" s="1" t="s">
        <v>27</v>
      </c>
      <c r="D525" s="1"/>
      <c r="E525" s="1"/>
      <c r="F525" s="1">
        <v>0</v>
      </c>
      <c r="G525" s="1"/>
      <c r="H525" s="1"/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/>
      <c r="Q525" s="1">
        <v>0</v>
      </c>
      <c r="R525" s="1">
        <v>0</v>
      </c>
    </row>
    <row r="526" spans="3:18" x14ac:dyDescent="0.2">
      <c r="C526" s="1" t="s">
        <v>28</v>
      </c>
      <c r="D526" s="1"/>
      <c r="E526" s="1"/>
      <c r="F526" s="1">
        <v>0</v>
      </c>
      <c r="G526" s="1"/>
      <c r="H526" s="1"/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/>
      <c r="Q526" s="1">
        <v>0</v>
      </c>
      <c r="R526" s="1">
        <v>0</v>
      </c>
    </row>
    <row r="527" spans="3:18" x14ac:dyDescent="0.2">
      <c r="C527" s="1" t="s">
        <v>29</v>
      </c>
      <c r="D527" s="1"/>
      <c r="E527" s="1"/>
      <c r="F527" s="1">
        <v>0</v>
      </c>
      <c r="G527" s="1"/>
      <c r="H527" s="1"/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/>
      <c r="Q527" s="1">
        <v>0</v>
      </c>
      <c r="R527" s="1">
        <v>0</v>
      </c>
    </row>
    <row r="528" spans="3:18" x14ac:dyDescent="0.2">
      <c r="C528" s="1" t="s">
        <v>30</v>
      </c>
      <c r="D528" s="1"/>
      <c r="E528" s="1"/>
      <c r="F528" s="1">
        <v>0</v>
      </c>
      <c r="G528" s="1"/>
      <c r="H528" s="1"/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/>
      <c r="Q528" s="1">
        <v>0</v>
      </c>
      <c r="R528" s="1">
        <v>0</v>
      </c>
    </row>
    <row r="529" spans="3:18" x14ac:dyDescent="0.2">
      <c r="C529" s="1" t="s">
        <v>31</v>
      </c>
      <c r="D529" s="1"/>
      <c r="E529" s="1"/>
      <c r="F529" s="1">
        <v>0</v>
      </c>
      <c r="G529" s="1"/>
      <c r="H529" s="1"/>
      <c r="I529" s="1">
        <v>1</v>
      </c>
      <c r="J529" s="1">
        <v>1</v>
      </c>
      <c r="K529" s="1">
        <v>1</v>
      </c>
      <c r="L529" s="1">
        <v>0</v>
      </c>
      <c r="M529" s="1">
        <v>0</v>
      </c>
      <c r="N529" s="1">
        <v>0.16582895921465399</v>
      </c>
      <c r="O529" s="1">
        <v>1</v>
      </c>
      <c r="P529" s="1"/>
      <c r="Q529" s="1">
        <v>0.987850577236567</v>
      </c>
      <c r="R529" s="1">
        <v>1</v>
      </c>
    </row>
    <row r="530" spans="3:18" x14ac:dyDescent="0.2">
      <c r="C530" s="1" t="s">
        <v>32</v>
      </c>
      <c r="D530" s="1"/>
      <c r="E530" s="1"/>
      <c r="F530" s="1">
        <v>0</v>
      </c>
      <c r="G530" s="1"/>
      <c r="H530" s="1"/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/>
      <c r="Q530" s="1">
        <v>0</v>
      </c>
      <c r="R530" s="1">
        <v>0</v>
      </c>
    </row>
    <row r="531" spans="3:18" x14ac:dyDescent="0.2">
      <c r="C531" s="1" t="s">
        <v>33</v>
      </c>
      <c r="D531" s="1"/>
      <c r="E531" s="1"/>
      <c r="F531" s="1">
        <v>0</v>
      </c>
      <c r="G531" s="1"/>
      <c r="H531" s="1"/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/>
      <c r="Q531" s="1">
        <v>0</v>
      </c>
      <c r="R531" s="1">
        <v>0</v>
      </c>
    </row>
    <row r="532" spans="3:18" x14ac:dyDescent="0.2">
      <c r="C532" s="1" t="s">
        <v>34</v>
      </c>
      <c r="D532" s="1"/>
      <c r="E532" s="1"/>
      <c r="F532" s="1">
        <v>0</v>
      </c>
      <c r="G532" s="1"/>
      <c r="H532" s="1"/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/>
      <c r="Q532" s="1">
        <v>0</v>
      </c>
      <c r="R532" s="1">
        <v>0</v>
      </c>
    </row>
    <row r="533" spans="3:18" x14ac:dyDescent="0.2">
      <c r="C533" s="1" t="s">
        <v>35</v>
      </c>
      <c r="D533" s="1"/>
      <c r="E533" s="1"/>
      <c r="F533" s="1">
        <v>0</v>
      </c>
      <c r="G533" s="1"/>
      <c r="H533" s="1"/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/>
      <c r="Q533" s="1">
        <v>0</v>
      </c>
      <c r="R533" s="1">
        <v>0</v>
      </c>
    </row>
    <row r="534" spans="3:18" x14ac:dyDescent="0.2">
      <c r="C534" s="1" t="s">
        <v>36</v>
      </c>
      <c r="D534" s="1"/>
      <c r="E534" s="1"/>
      <c r="F534" s="1">
        <v>0</v>
      </c>
      <c r="G534" s="1"/>
      <c r="H534" s="1"/>
      <c r="I534" s="1">
        <v>0</v>
      </c>
      <c r="J534" s="1">
        <v>0</v>
      </c>
      <c r="K534" s="1">
        <v>0</v>
      </c>
      <c r="L534" s="1">
        <v>0</v>
      </c>
      <c r="M534" s="1">
        <v>0.15125221218525101</v>
      </c>
      <c r="N534" s="1">
        <v>0.12617021525965699</v>
      </c>
      <c r="O534" s="1">
        <v>0</v>
      </c>
      <c r="P534" s="1"/>
      <c r="Q534" s="1">
        <v>0</v>
      </c>
      <c r="R534" s="1">
        <v>0</v>
      </c>
    </row>
    <row r="535" spans="3:18" x14ac:dyDescent="0.2">
      <c r="C535" s="1" t="s">
        <v>37</v>
      </c>
      <c r="D535" s="1"/>
      <c r="E535" s="1"/>
      <c r="F535" s="1">
        <v>0</v>
      </c>
      <c r="G535" s="1"/>
      <c r="H535" s="1"/>
      <c r="I535" s="1">
        <v>0</v>
      </c>
      <c r="J535" s="1">
        <v>0</v>
      </c>
      <c r="K535" s="1">
        <v>0</v>
      </c>
      <c r="L535" s="1">
        <v>0</v>
      </c>
      <c r="M535" s="1">
        <v>0.14475098509419801</v>
      </c>
      <c r="N535" s="1">
        <v>0.120747079890731</v>
      </c>
      <c r="O535" s="1">
        <v>0</v>
      </c>
      <c r="P535" s="1"/>
      <c r="Q535" s="1">
        <v>0</v>
      </c>
      <c r="R535" s="1">
        <v>0</v>
      </c>
    </row>
    <row r="536" spans="3:18" x14ac:dyDescent="0.2">
      <c r="C536" s="1" t="s">
        <v>38</v>
      </c>
      <c r="D536" s="1"/>
      <c r="E536" s="1"/>
      <c r="F536" s="1">
        <v>1</v>
      </c>
      <c r="G536" s="1"/>
      <c r="H536" s="1"/>
      <c r="I536" s="1">
        <v>0</v>
      </c>
      <c r="J536" s="1">
        <v>0</v>
      </c>
      <c r="K536" s="1">
        <v>0</v>
      </c>
      <c r="L536" s="1">
        <v>1</v>
      </c>
      <c r="M536" s="1">
        <v>0</v>
      </c>
      <c r="N536" s="1">
        <v>0</v>
      </c>
      <c r="O536" s="1">
        <v>0</v>
      </c>
      <c r="P536" s="1"/>
      <c r="Q536" s="1">
        <v>1.21494227634332E-2</v>
      </c>
      <c r="R536" s="1">
        <v>0</v>
      </c>
    </row>
    <row r="537" spans="3:18" x14ac:dyDescent="0.2">
      <c r="C537" s="1" t="s">
        <v>39</v>
      </c>
      <c r="D537" s="1"/>
      <c r="E537" s="1"/>
      <c r="F537" s="1">
        <v>0</v>
      </c>
      <c r="G537" s="1"/>
      <c r="H537" s="1"/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/>
      <c r="Q537" s="1">
        <v>0</v>
      </c>
      <c r="R537" s="1">
        <v>0</v>
      </c>
    </row>
    <row r="538" spans="3:18" x14ac:dyDescent="0.2">
      <c r="C538" s="1" t="s">
        <v>40</v>
      </c>
      <c r="D538" s="1"/>
      <c r="E538" s="1"/>
      <c r="F538" s="1">
        <v>0</v>
      </c>
      <c r="G538" s="1"/>
      <c r="H538" s="1"/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/>
      <c r="Q538" s="1">
        <v>0</v>
      </c>
      <c r="R538" s="1">
        <v>0</v>
      </c>
    </row>
    <row r="539" spans="3:18" x14ac:dyDescent="0.2">
      <c r="C539" s="1" t="s">
        <v>41</v>
      </c>
      <c r="D539" s="1"/>
      <c r="E539" s="1"/>
      <c r="F539" s="1">
        <v>0</v>
      </c>
      <c r="G539" s="1"/>
      <c r="H539" s="1"/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/>
      <c r="Q539" s="1">
        <v>0</v>
      </c>
      <c r="R539" s="1">
        <v>0</v>
      </c>
    </row>
    <row r="540" spans="3:18" x14ac:dyDescent="0.2">
      <c r="C540" s="1" t="s">
        <v>42</v>
      </c>
      <c r="D540" s="1"/>
      <c r="E540" s="1"/>
      <c r="F540" s="1">
        <v>0</v>
      </c>
      <c r="G540" s="1"/>
      <c r="H540" s="1"/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/>
      <c r="Q540" s="1">
        <v>0</v>
      </c>
      <c r="R540" s="1">
        <v>0</v>
      </c>
    </row>
    <row r="541" spans="3:18" x14ac:dyDescent="0.2">
      <c r="C541" s="1" t="s">
        <v>43</v>
      </c>
      <c r="D541" s="1"/>
      <c r="E541" s="1"/>
      <c r="F541" s="1">
        <v>0</v>
      </c>
      <c r="G541" s="1"/>
      <c r="H541" s="1"/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/>
      <c r="Q541" s="1">
        <v>0</v>
      </c>
      <c r="R541" s="1">
        <v>0</v>
      </c>
    </row>
    <row r="542" spans="3:18" x14ac:dyDescent="0.2">
      <c r="C542" s="1" t="s">
        <v>44</v>
      </c>
      <c r="D542" s="1"/>
      <c r="E542" s="1"/>
      <c r="F542" s="1">
        <v>0</v>
      </c>
      <c r="G542" s="1"/>
      <c r="H542" s="1"/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/>
      <c r="Q542" s="1">
        <v>0</v>
      </c>
      <c r="R542" s="1">
        <v>0</v>
      </c>
    </row>
    <row r="543" spans="3:18" x14ac:dyDescent="0.2">
      <c r="C543" s="1" t="s">
        <v>45</v>
      </c>
      <c r="D543" s="1"/>
      <c r="E543" s="1"/>
      <c r="F543" s="1">
        <v>0</v>
      </c>
      <c r="G543" s="1"/>
      <c r="H543" s="1"/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/>
      <c r="Q543" s="1">
        <v>0</v>
      </c>
      <c r="R543" s="1">
        <v>0</v>
      </c>
    </row>
    <row r="544" spans="3:18" x14ac:dyDescent="0.2">
      <c r="C544" s="1" t="s">
        <v>46</v>
      </c>
      <c r="D544" s="1"/>
      <c r="E544" s="1"/>
      <c r="F544" s="1">
        <v>0</v>
      </c>
      <c r="G544" s="1"/>
      <c r="H544" s="1"/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/>
      <c r="Q544" s="1">
        <v>0</v>
      </c>
      <c r="R544" s="1">
        <v>0</v>
      </c>
    </row>
    <row r="545" spans="3:18" x14ac:dyDescent="0.2">
      <c r="C545" s="1" t="s">
        <v>47</v>
      </c>
      <c r="D545" s="1"/>
      <c r="E545" s="1"/>
      <c r="F545" s="1">
        <v>0</v>
      </c>
      <c r="G545" s="1"/>
      <c r="H545" s="1"/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/>
      <c r="Q545" s="1">
        <v>0</v>
      </c>
      <c r="R545" s="1">
        <v>0</v>
      </c>
    </row>
    <row r="546" spans="3:18" x14ac:dyDescent="0.2">
      <c r="C546" s="1" t="s">
        <v>48</v>
      </c>
      <c r="D546" s="1"/>
      <c r="E546" s="1"/>
      <c r="F546" s="1">
        <v>0</v>
      </c>
      <c r="G546" s="1"/>
      <c r="H546" s="1"/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/>
      <c r="Q546" s="1">
        <v>0</v>
      </c>
      <c r="R546" s="1">
        <v>0</v>
      </c>
    </row>
    <row r="547" spans="3:18" x14ac:dyDescent="0.2">
      <c r="C547" s="1" t="s">
        <v>49</v>
      </c>
      <c r="D547" s="1"/>
      <c r="E547" s="1"/>
      <c r="F547" s="1">
        <v>0</v>
      </c>
      <c r="G547" s="1"/>
      <c r="H547" s="1"/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/>
      <c r="Q547" s="1">
        <v>0</v>
      </c>
      <c r="R547" s="1">
        <v>0</v>
      </c>
    </row>
    <row r="548" spans="3:18" x14ac:dyDescent="0.2">
      <c r="C548" s="1" t="s">
        <v>50</v>
      </c>
      <c r="D548" s="1"/>
      <c r="E548" s="1"/>
      <c r="F548" s="1">
        <v>0</v>
      </c>
      <c r="G548" s="1"/>
      <c r="H548" s="1"/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/>
      <c r="Q548" s="1">
        <v>0</v>
      </c>
      <c r="R548" s="1">
        <v>0</v>
      </c>
    </row>
    <row r="549" spans="3:18" x14ac:dyDescent="0.2">
      <c r="C549" s="1" t="s">
        <v>51</v>
      </c>
      <c r="D549" s="1"/>
      <c r="E549" s="1"/>
      <c r="F549" s="1">
        <v>0</v>
      </c>
      <c r="G549" s="1"/>
      <c r="H549" s="1"/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/>
      <c r="Q549" s="1">
        <v>0</v>
      </c>
      <c r="R549" s="1">
        <v>0</v>
      </c>
    </row>
    <row r="550" spans="3:18" x14ac:dyDescent="0.2">
      <c r="C550" s="1" t="s">
        <v>52</v>
      </c>
      <c r="D550" s="1"/>
      <c r="E550" s="1"/>
      <c r="F550" s="1">
        <v>0</v>
      </c>
      <c r="G550" s="1"/>
      <c r="H550" s="1"/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/>
      <c r="Q550" s="1">
        <v>0</v>
      </c>
      <c r="R550" s="1">
        <v>0</v>
      </c>
    </row>
    <row r="551" spans="3:18" x14ac:dyDescent="0.2">
      <c r="C551" s="1" t="s">
        <v>53</v>
      </c>
      <c r="D551" s="1"/>
      <c r="E551" s="1"/>
      <c r="F551" s="1">
        <v>0</v>
      </c>
      <c r="G551" s="1"/>
      <c r="H551" s="1"/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/>
      <c r="Q551" s="1">
        <v>0</v>
      </c>
      <c r="R551" s="1">
        <v>0</v>
      </c>
    </row>
    <row r="552" spans="3:18" x14ac:dyDescent="0.2">
      <c r="C552" s="1" t="s">
        <v>54</v>
      </c>
      <c r="D552" s="1"/>
      <c r="E552" s="1"/>
      <c r="F552" s="1">
        <v>0</v>
      </c>
      <c r="G552" s="1"/>
      <c r="H552" s="1"/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/>
      <c r="Q552" s="1">
        <v>0</v>
      </c>
      <c r="R552" s="1">
        <v>0</v>
      </c>
    </row>
    <row r="553" spans="3:18" x14ac:dyDescent="0.2">
      <c r="C553" s="1" t="s">
        <v>55</v>
      </c>
      <c r="D553" s="1"/>
      <c r="E553" s="1"/>
      <c r="F553" s="1">
        <v>0</v>
      </c>
      <c r="G553" s="1"/>
      <c r="H553" s="1"/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/>
      <c r="Q553" s="1">
        <v>0</v>
      </c>
      <c r="R553" s="1">
        <v>0</v>
      </c>
    </row>
    <row r="554" spans="3:18" x14ac:dyDescent="0.2">
      <c r="C554" s="1" t="s">
        <v>56</v>
      </c>
      <c r="D554" s="1"/>
      <c r="E554" s="1"/>
      <c r="F554" s="1">
        <v>0</v>
      </c>
      <c r="G554" s="1"/>
      <c r="H554" s="1"/>
      <c r="I554" s="1">
        <v>0</v>
      </c>
      <c r="J554" s="1">
        <v>0</v>
      </c>
      <c r="K554" s="1">
        <v>0</v>
      </c>
      <c r="L554" s="1">
        <v>0</v>
      </c>
      <c r="M554" s="1">
        <v>0.70399680272055098</v>
      </c>
      <c r="N554" s="1">
        <v>0.58725374563495902</v>
      </c>
      <c r="O554" s="1">
        <v>0</v>
      </c>
      <c r="P554" s="1"/>
      <c r="Q554" s="1">
        <v>0</v>
      </c>
      <c r="R554" s="1">
        <v>0</v>
      </c>
    </row>
    <row r="555" spans="3:18" x14ac:dyDescent="0.2">
      <c r="C555" s="1" t="s">
        <v>60</v>
      </c>
      <c r="D555" s="1" t="s">
        <v>77</v>
      </c>
      <c r="E555" s="1"/>
      <c r="F555" s="1">
        <v>3.4672159286754827E-4</v>
      </c>
      <c r="G555" s="1"/>
      <c r="H555" s="1"/>
      <c r="I555" s="1">
        <v>0.21570275126277255</v>
      </c>
      <c r="J555" s="1">
        <v>0.81784357103620031</v>
      </c>
      <c r="K555" s="1">
        <v>0.68647764312683257</v>
      </c>
      <c r="L555" s="1">
        <v>0.34672159285959531</v>
      </c>
      <c r="M555" s="1">
        <v>0.47091121266735325</v>
      </c>
      <c r="N555" s="1">
        <v>0.68661396393012464</v>
      </c>
      <c r="O555" s="1">
        <v>0.81784357103620031</v>
      </c>
      <c r="P555" s="1"/>
      <c r="Q555" s="1">
        <v>9.337409543433281E-2</v>
      </c>
      <c r="R555" s="1">
        <v>9.3027373841402208E-2</v>
      </c>
    </row>
  </sheetData>
  <mergeCells count="1">
    <mergeCell ref="C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17BE-D300-4F8D-B1B6-5151439CE159}">
  <dimension ref="A1:C9"/>
  <sheetViews>
    <sheetView topLeftCell="A4" zoomScale="248" zoomScaleNormal="273" workbookViewId="0">
      <selection activeCell="E9" sqref="E9"/>
    </sheetView>
  </sheetViews>
  <sheetFormatPr baseColWidth="10" defaultColWidth="8.83203125" defaultRowHeight="15" x14ac:dyDescent="0.2"/>
  <cols>
    <col min="1" max="1" width="16" customWidth="1"/>
    <col min="2" max="2" width="19.5" customWidth="1"/>
  </cols>
  <sheetData>
    <row r="1" spans="1:3" x14ac:dyDescent="0.2">
      <c r="A1" s="1" t="s">
        <v>95</v>
      </c>
      <c r="B1" s="3" t="s">
        <v>96</v>
      </c>
      <c r="C1" s="3" t="s">
        <v>76</v>
      </c>
    </row>
    <row r="2" spans="1:3" x14ac:dyDescent="0.2">
      <c r="A2" t="s">
        <v>97</v>
      </c>
      <c r="B2" t="s">
        <v>88</v>
      </c>
      <c r="C2" s="1">
        <v>100</v>
      </c>
    </row>
    <row r="3" spans="1:3" x14ac:dyDescent="0.2">
      <c r="A3" t="s">
        <v>97</v>
      </c>
      <c r="B3" t="s">
        <v>98</v>
      </c>
      <c r="C3" s="1">
        <v>185</v>
      </c>
    </row>
    <row r="4" spans="1:3" x14ac:dyDescent="0.2">
      <c r="A4" t="s">
        <v>99</v>
      </c>
      <c r="B4" t="s">
        <v>100</v>
      </c>
      <c r="C4" s="1">
        <v>9.0500000000000007</v>
      </c>
    </row>
    <row r="5" spans="1:3" x14ac:dyDescent="0.2">
      <c r="A5" t="s">
        <v>101</v>
      </c>
      <c r="B5" t="s">
        <v>102</v>
      </c>
      <c r="C5" s="1">
        <v>66.760000000000005</v>
      </c>
    </row>
    <row r="6" spans="1:3" x14ac:dyDescent="0.2">
      <c r="A6" t="s">
        <v>101</v>
      </c>
      <c r="B6" t="s">
        <v>103</v>
      </c>
      <c r="C6" s="1">
        <v>14.34</v>
      </c>
    </row>
    <row r="7" spans="1:3" x14ac:dyDescent="0.2">
      <c r="A7" t="s">
        <v>101</v>
      </c>
      <c r="B7" t="s">
        <v>104</v>
      </c>
      <c r="C7" s="1">
        <v>13.73</v>
      </c>
    </row>
    <row r="8" spans="1:3" x14ac:dyDescent="0.2">
      <c r="A8" t="s">
        <v>105</v>
      </c>
      <c r="B8" t="s">
        <v>106</v>
      </c>
      <c r="C8" s="1">
        <v>71.48</v>
      </c>
    </row>
    <row r="9" spans="1:3" x14ac:dyDescent="0.2">
      <c r="A9" t="s">
        <v>105</v>
      </c>
      <c r="B9" t="s">
        <v>107</v>
      </c>
      <c r="C9" s="1">
        <v>107.77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7F90-5153-7C4F-AE71-BE334045CB20}">
  <dimension ref="A1:E224"/>
  <sheetViews>
    <sheetView tabSelected="1" zoomScale="159" zoomScaleNormal="125" workbookViewId="0">
      <selection activeCell="C1" sqref="C1"/>
    </sheetView>
  </sheetViews>
  <sheetFormatPr baseColWidth="10" defaultRowHeight="15" x14ac:dyDescent="0.2"/>
  <cols>
    <col min="1" max="1" width="16.5" customWidth="1"/>
  </cols>
  <sheetData>
    <row r="1" spans="1:5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</row>
    <row r="2" spans="1:5" x14ac:dyDescent="0.2">
      <c r="A2" t="s">
        <v>102</v>
      </c>
      <c r="B2" s="1">
        <v>66.760000000000005</v>
      </c>
      <c r="C2">
        <v>72.83</v>
      </c>
      <c r="D2">
        <f t="shared" ref="D2:D8" si="0">B2-C2</f>
        <v>-6.0699999999999932</v>
      </c>
      <c r="E2" s="4">
        <f t="shared" ref="E2:E8" si="1">(B2-C2)/C2</f>
        <v>-8.3344775504599664E-2</v>
      </c>
    </row>
    <row r="3" spans="1:5" x14ac:dyDescent="0.2">
      <c r="A3" t="s">
        <v>103</v>
      </c>
      <c r="B3" s="1">
        <v>14.34</v>
      </c>
      <c r="C3">
        <v>15.65</v>
      </c>
      <c r="D3">
        <f t="shared" si="0"/>
        <v>-1.3100000000000005</v>
      </c>
      <c r="E3" s="4">
        <f t="shared" si="1"/>
        <v>-8.3706070287539971E-2</v>
      </c>
    </row>
    <row r="4" spans="1:5" x14ac:dyDescent="0.2">
      <c r="A4" t="s">
        <v>104</v>
      </c>
      <c r="B4" s="1">
        <v>13.73</v>
      </c>
      <c r="C4">
        <v>14.97</v>
      </c>
      <c r="D4">
        <f t="shared" si="0"/>
        <v>-1.2400000000000002</v>
      </c>
      <c r="E4" s="4">
        <f t="shared" si="1"/>
        <v>-8.2832331329325326E-2</v>
      </c>
    </row>
    <row r="5" spans="1:5" x14ac:dyDescent="0.2">
      <c r="A5" t="s">
        <v>106</v>
      </c>
      <c r="B5" s="1">
        <v>71.48</v>
      </c>
      <c r="C5">
        <v>70.010000000000005</v>
      </c>
      <c r="D5">
        <f t="shared" si="0"/>
        <v>1.4699999999999989</v>
      </c>
      <c r="E5" s="4">
        <f t="shared" si="1"/>
        <v>2.0997000428510194E-2</v>
      </c>
    </row>
    <row r="6" spans="1:5" x14ac:dyDescent="0.2">
      <c r="A6" t="s">
        <v>107</v>
      </c>
      <c r="B6" s="1">
        <v>107.77</v>
      </c>
      <c r="C6">
        <v>138.13</v>
      </c>
      <c r="D6">
        <f t="shared" si="0"/>
        <v>-30.36</v>
      </c>
      <c r="E6" s="4">
        <f t="shared" si="1"/>
        <v>-0.21979294867154131</v>
      </c>
    </row>
    <row r="7" spans="1:5" x14ac:dyDescent="0.2">
      <c r="A7" t="s">
        <v>113</v>
      </c>
      <c r="B7" s="1">
        <v>30.2</v>
      </c>
      <c r="C7" s="5">
        <v>38.71</v>
      </c>
      <c r="D7">
        <f t="shared" si="0"/>
        <v>-8.5100000000000016</v>
      </c>
      <c r="E7" s="4">
        <f t="shared" si="1"/>
        <v>-0.21983983466804446</v>
      </c>
    </row>
    <row r="8" spans="1:5" x14ac:dyDescent="0.2">
      <c r="A8" t="s">
        <v>114</v>
      </c>
      <c r="B8" s="1">
        <v>9.0500000000000007</v>
      </c>
      <c r="C8" s="5">
        <v>2.82</v>
      </c>
      <c r="D8">
        <f t="shared" si="0"/>
        <v>6.23</v>
      </c>
      <c r="E8" s="4">
        <f t="shared" si="1"/>
        <v>2.2092198581560285</v>
      </c>
    </row>
    <row r="25" spans="2:3" x14ac:dyDescent="0.2">
      <c r="B25" t="s">
        <v>115</v>
      </c>
      <c r="C25" t="s">
        <v>116</v>
      </c>
    </row>
    <row r="26" spans="2:3" x14ac:dyDescent="0.2">
      <c r="B26">
        <v>94.83</v>
      </c>
      <c r="C26">
        <v>39.25</v>
      </c>
    </row>
    <row r="223" spans="5:5" x14ac:dyDescent="0.2">
      <c r="E223" s="4"/>
    </row>
    <row r="224" spans="5:5" x14ac:dyDescent="0.2">
      <c r="E224" s="4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4CA6-97D6-A14E-ACEF-B62D8DA91F34}">
  <dimension ref="C3:P40"/>
  <sheetViews>
    <sheetView topLeftCell="A22" zoomScale="111" workbookViewId="0">
      <selection activeCell="I52" sqref="I52"/>
    </sheetView>
  </sheetViews>
  <sheetFormatPr baseColWidth="10" defaultColWidth="8.83203125" defaultRowHeight="15" x14ac:dyDescent="0.2"/>
  <cols>
    <col min="1" max="1" width="10" customWidth="1"/>
    <col min="2" max="2" width="10.83203125" customWidth="1"/>
    <col min="3" max="3" width="34" customWidth="1"/>
    <col min="4" max="4" width="11" customWidth="1"/>
    <col min="5" max="5" width="10.1640625" customWidth="1"/>
    <col min="6" max="6" width="11.6640625" customWidth="1"/>
    <col min="7" max="7" width="11" bestFit="1" customWidth="1"/>
    <col min="8" max="8" width="8.83203125" customWidth="1"/>
    <col min="9" max="9" width="34.33203125" customWidth="1"/>
    <col min="12" max="12" width="8.83203125" customWidth="1"/>
    <col min="14" max="14" width="30.1640625" customWidth="1"/>
    <col min="15" max="15" width="22" customWidth="1"/>
    <col min="16" max="16" width="21" customWidth="1"/>
  </cols>
  <sheetData>
    <row r="3" spans="3:16" x14ac:dyDescent="0.2">
      <c r="C3" s="14" t="s">
        <v>151</v>
      </c>
      <c r="D3" s="14"/>
      <c r="E3" s="14"/>
      <c r="F3" s="14"/>
      <c r="G3" s="14"/>
      <c r="I3" s="14" t="s">
        <v>162</v>
      </c>
      <c r="J3" s="14"/>
      <c r="K3" s="14"/>
      <c r="L3" s="14"/>
    </row>
    <row r="4" spans="3:16" x14ac:dyDescent="0.2">
      <c r="C4" s="1" t="s">
        <v>150</v>
      </c>
      <c r="D4" s="1" t="s">
        <v>82</v>
      </c>
      <c r="E4" s="1" t="s">
        <v>85</v>
      </c>
      <c r="F4" s="2">
        <v>46266</v>
      </c>
      <c r="G4" s="2">
        <v>46267</v>
      </c>
      <c r="I4" s="1" t="s">
        <v>150</v>
      </c>
      <c r="J4" s="1" t="s">
        <v>79</v>
      </c>
      <c r="K4" s="1" t="s">
        <v>87</v>
      </c>
      <c r="L4" s="1" t="s">
        <v>84</v>
      </c>
      <c r="N4" t="s">
        <v>167</v>
      </c>
      <c r="O4" t="s">
        <v>169</v>
      </c>
    </row>
    <row r="5" spans="3:16" x14ac:dyDescent="0.2">
      <c r="C5" s="1" t="s">
        <v>149</v>
      </c>
      <c r="D5" s="6" t="s">
        <v>148</v>
      </c>
      <c r="E5" s="6" t="s">
        <v>148</v>
      </c>
      <c r="F5" s="6" t="s">
        <v>148</v>
      </c>
      <c r="G5" s="6" t="s">
        <v>148</v>
      </c>
      <c r="I5" s="1" t="s">
        <v>149</v>
      </c>
      <c r="J5" s="6" t="s">
        <v>148</v>
      </c>
      <c r="K5" s="6" t="s">
        <v>148</v>
      </c>
      <c r="L5" s="6" t="s">
        <v>148</v>
      </c>
      <c r="N5" s="1" t="s">
        <v>82</v>
      </c>
      <c r="O5" s="10">
        <f>D25 * 0.004184</f>
        <v>5.8076951726400008</v>
      </c>
      <c r="P5" s="9"/>
    </row>
    <row r="6" spans="3:16" x14ac:dyDescent="0.2">
      <c r="C6" s="1" t="s">
        <v>147</v>
      </c>
      <c r="D6" s="6" t="s">
        <v>145</v>
      </c>
      <c r="E6" s="6" t="s">
        <v>145</v>
      </c>
      <c r="F6" s="6" t="s">
        <v>145</v>
      </c>
      <c r="G6" s="6" t="s">
        <v>145</v>
      </c>
      <c r="I6" s="1" t="s">
        <v>147</v>
      </c>
      <c r="J6" s="6" t="s">
        <v>145</v>
      </c>
      <c r="K6" s="6" t="s">
        <v>145</v>
      </c>
      <c r="L6" s="6" t="s">
        <v>145</v>
      </c>
      <c r="N6" s="1" t="s">
        <v>85</v>
      </c>
      <c r="O6" s="10">
        <v>0</v>
      </c>
      <c r="P6" s="9"/>
    </row>
    <row r="7" spans="3:16" x14ac:dyDescent="0.2">
      <c r="C7" s="1" t="s">
        <v>146</v>
      </c>
      <c r="D7" s="6" t="s">
        <v>145</v>
      </c>
      <c r="E7" s="6" t="s">
        <v>145</v>
      </c>
      <c r="F7" s="6" t="s">
        <v>145</v>
      </c>
      <c r="G7" s="6" t="s">
        <v>145</v>
      </c>
      <c r="I7" s="1" t="s">
        <v>146</v>
      </c>
      <c r="J7" s="6" t="s">
        <v>145</v>
      </c>
      <c r="K7" s="6" t="s">
        <v>145</v>
      </c>
      <c r="L7" s="6" t="s">
        <v>145</v>
      </c>
      <c r="N7" s="2">
        <v>46266</v>
      </c>
      <c r="O7" s="10">
        <v>-0.92</v>
      </c>
      <c r="P7" s="9"/>
    </row>
    <row r="8" spans="3:16" x14ac:dyDescent="0.2">
      <c r="C8" s="1" t="s">
        <v>144</v>
      </c>
      <c r="D8" s="6" t="s">
        <v>143</v>
      </c>
      <c r="E8" s="6" t="s">
        <v>143</v>
      </c>
      <c r="F8" s="6" t="s">
        <v>143</v>
      </c>
      <c r="G8" s="6" t="s">
        <v>143</v>
      </c>
      <c r="I8" s="1" t="s">
        <v>144</v>
      </c>
      <c r="J8" s="6" t="s">
        <v>143</v>
      </c>
      <c r="K8" s="6" t="s">
        <v>143</v>
      </c>
      <c r="L8" s="6" t="s">
        <v>143</v>
      </c>
      <c r="N8" s="2">
        <v>46267</v>
      </c>
      <c r="O8" s="10">
        <f>G25 * 0.004184</f>
        <v>1.3036523433920002</v>
      </c>
      <c r="P8" s="9"/>
    </row>
    <row r="9" spans="3:16" x14ac:dyDescent="0.2">
      <c r="C9" s="1" t="s">
        <v>142</v>
      </c>
      <c r="D9" s="6" t="s">
        <v>141</v>
      </c>
      <c r="E9" s="6" t="s">
        <v>141</v>
      </c>
      <c r="F9" s="6" t="s">
        <v>141</v>
      </c>
      <c r="G9" s="6" t="s">
        <v>141</v>
      </c>
      <c r="I9" s="1" t="s">
        <v>142</v>
      </c>
      <c r="J9" s="6" t="s">
        <v>141</v>
      </c>
      <c r="K9" s="6" t="s">
        <v>141</v>
      </c>
      <c r="L9" s="6" t="s">
        <v>141</v>
      </c>
      <c r="N9" s="1" t="s">
        <v>79</v>
      </c>
      <c r="O9" s="10">
        <f>J19 * 0.004184</f>
        <v>11.22532631792</v>
      </c>
      <c r="P9" s="9"/>
    </row>
    <row r="10" spans="3:16" x14ac:dyDescent="0.2">
      <c r="C10" s="1" t="s">
        <v>140</v>
      </c>
      <c r="D10" s="6">
        <v>3</v>
      </c>
      <c r="E10" s="6">
        <v>3</v>
      </c>
      <c r="F10" s="6">
        <v>3</v>
      </c>
      <c r="G10" s="6">
        <v>3</v>
      </c>
      <c r="I10" s="1" t="s">
        <v>140</v>
      </c>
      <c r="J10" s="6">
        <v>3</v>
      </c>
      <c r="K10" s="6">
        <v>3</v>
      </c>
      <c r="L10" s="6">
        <v>3</v>
      </c>
      <c r="N10" s="1" t="s">
        <v>87</v>
      </c>
      <c r="O10" s="10">
        <v>-98.24</v>
      </c>
      <c r="P10" s="9"/>
    </row>
    <row r="11" spans="3:16" x14ac:dyDescent="0.2">
      <c r="C11" s="1" t="s">
        <v>139</v>
      </c>
      <c r="D11" s="6">
        <v>0</v>
      </c>
      <c r="E11" s="6">
        <v>0</v>
      </c>
      <c r="F11" s="6">
        <v>0</v>
      </c>
      <c r="G11" s="6">
        <v>0</v>
      </c>
      <c r="I11" s="1" t="s">
        <v>161</v>
      </c>
      <c r="J11" s="6">
        <v>1</v>
      </c>
      <c r="K11" s="6">
        <v>1</v>
      </c>
      <c r="L11" s="6">
        <v>1</v>
      </c>
      <c r="N11" s="1" t="s">
        <v>84</v>
      </c>
      <c r="O11" s="10">
        <f>L19* 0.004184</f>
        <v>61.915936157600001</v>
      </c>
      <c r="P11" s="9"/>
    </row>
    <row r="12" spans="3:16" x14ac:dyDescent="0.2">
      <c r="C12" s="1" t="s">
        <v>138</v>
      </c>
      <c r="D12" s="1"/>
      <c r="E12" s="1"/>
      <c r="F12" s="1"/>
      <c r="G12" s="1"/>
      <c r="I12" s="1" t="s">
        <v>160</v>
      </c>
      <c r="J12" s="6">
        <v>80</v>
      </c>
      <c r="K12" s="6">
        <v>80</v>
      </c>
      <c r="L12" s="6">
        <v>80</v>
      </c>
      <c r="O12" s="11"/>
      <c r="P12" s="9"/>
    </row>
    <row r="13" spans="3:16" x14ac:dyDescent="0.2">
      <c r="C13" s="1" t="s">
        <v>137</v>
      </c>
      <c r="D13" s="1"/>
      <c r="E13" s="1"/>
      <c r="F13" s="1"/>
      <c r="G13" s="1"/>
      <c r="I13" s="1" t="s">
        <v>159</v>
      </c>
      <c r="J13" s="6"/>
      <c r="K13" s="6"/>
      <c r="L13" s="6"/>
      <c r="O13" s="11"/>
      <c r="P13" s="9"/>
    </row>
    <row r="14" spans="3:16" x14ac:dyDescent="0.2">
      <c r="C14" s="1" t="s">
        <v>136</v>
      </c>
      <c r="D14" s="1"/>
      <c r="E14" s="1"/>
      <c r="F14" s="1"/>
      <c r="G14" s="1"/>
      <c r="I14" s="1" t="s">
        <v>158</v>
      </c>
      <c r="J14" s="6"/>
      <c r="K14" s="6"/>
      <c r="L14" s="6"/>
      <c r="N14" s="7"/>
      <c r="O14" s="10"/>
      <c r="P14" s="9"/>
    </row>
    <row r="15" spans="3:16" x14ac:dyDescent="0.2">
      <c r="C15" s="1" t="s">
        <v>135</v>
      </c>
      <c r="D15" s="1"/>
      <c r="E15" s="1"/>
      <c r="F15" s="1"/>
      <c r="G15" s="1"/>
      <c r="I15" s="1" t="s">
        <v>126</v>
      </c>
      <c r="J15" s="6"/>
      <c r="K15" s="6"/>
      <c r="L15" s="6"/>
      <c r="N15" s="7"/>
      <c r="O15" s="10"/>
    </row>
    <row r="16" spans="3:16" x14ac:dyDescent="0.2">
      <c r="C16" s="1" t="s">
        <v>134</v>
      </c>
      <c r="D16" s="1"/>
      <c r="E16" s="1"/>
      <c r="F16" s="1"/>
      <c r="G16" s="1"/>
      <c r="I16" s="1" t="s">
        <v>157</v>
      </c>
      <c r="J16" s="1">
        <v>80</v>
      </c>
      <c r="K16" s="1">
        <v>80</v>
      </c>
      <c r="L16" s="1">
        <v>80</v>
      </c>
    </row>
    <row r="17" spans="3:15" x14ac:dyDescent="0.2">
      <c r="C17" s="1" t="s">
        <v>133</v>
      </c>
      <c r="D17" s="1"/>
      <c r="E17" s="1"/>
      <c r="F17" s="1"/>
      <c r="G17" s="1"/>
      <c r="I17" s="1" t="s">
        <v>156</v>
      </c>
      <c r="J17" s="1">
        <v>1</v>
      </c>
      <c r="K17" s="1">
        <v>1</v>
      </c>
      <c r="L17" s="1">
        <v>1</v>
      </c>
    </row>
    <row r="18" spans="3:15" x14ac:dyDescent="0.2">
      <c r="C18" s="1" t="s">
        <v>132</v>
      </c>
      <c r="D18" s="1"/>
      <c r="E18" s="1"/>
      <c r="F18" s="1"/>
      <c r="G18" s="1"/>
      <c r="I18" s="1" t="s">
        <v>155</v>
      </c>
      <c r="J18" s="1">
        <v>2682.9173799999999</v>
      </c>
      <c r="K18" s="1">
        <v>-23481.245500000001</v>
      </c>
      <c r="L18" s="1">
        <v>14798.2639</v>
      </c>
      <c r="O18" s="11"/>
    </row>
    <row r="19" spans="3:15" x14ac:dyDescent="0.2">
      <c r="C19" s="1" t="s">
        <v>131</v>
      </c>
      <c r="D19" s="1"/>
      <c r="E19" s="1"/>
      <c r="F19" s="1"/>
      <c r="G19" s="1"/>
      <c r="I19" s="1" t="s">
        <v>154</v>
      </c>
      <c r="J19" s="1">
        <v>2682.9173799999999</v>
      </c>
      <c r="K19" s="1">
        <v>-23481.245500000001</v>
      </c>
      <c r="L19" s="1">
        <v>14798.2639</v>
      </c>
    </row>
    <row r="20" spans="3:15" x14ac:dyDescent="0.2">
      <c r="C20" s="1" t="s">
        <v>130</v>
      </c>
      <c r="D20" s="1"/>
      <c r="E20" s="1"/>
      <c r="F20" s="1"/>
      <c r="G20" s="1"/>
      <c r="I20" s="1" t="s">
        <v>153</v>
      </c>
      <c r="J20" s="1">
        <v>7.2718545199999998E-2</v>
      </c>
      <c r="K20" s="1">
        <v>0</v>
      </c>
      <c r="L20" s="1">
        <v>0</v>
      </c>
    </row>
    <row r="21" spans="3:15" x14ac:dyDescent="0.2">
      <c r="C21" s="1" t="s">
        <v>129</v>
      </c>
      <c r="D21" s="1"/>
      <c r="E21" s="1"/>
      <c r="F21" s="1"/>
      <c r="G21" s="1"/>
      <c r="I21" s="1" t="s">
        <v>152</v>
      </c>
      <c r="J21" s="1">
        <v>1</v>
      </c>
      <c r="K21" s="1">
        <v>1</v>
      </c>
      <c r="L21" s="1">
        <v>1</v>
      </c>
    </row>
    <row r="22" spans="3:15" x14ac:dyDescent="0.2">
      <c r="C22" s="1" t="s">
        <v>128</v>
      </c>
      <c r="D22" s="1"/>
      <c r="E22" s="1"/>
      <c r="F22" s="1"/>
      <c r="G22" s="1"/>
      <c r="I22" s="1" t="s">
        <v>124</v>
      </c>
      <c r="J22" s="1">
        <v>0</v>
      </c>
      <c r="K22" s="1">
        <v>0</v>
      </c>
      <c r="L22" s="1">
        <v>0</v>
      </c>
    </row>
    <row r="23" spans="3:15" x14ac:dyDescent="0.2">
      <c r="C23" s="1" t="s">
        <v>127</v>
      </c>
      <c r="D23" s="1"/>
      <c r="E23" s="1"/>
      <c r="F23" s="1"/>
      <c r="G23" s="1"/>
      <c r="I23" s="1" t="s">
        <v>123</v>
      </c>
      <c r="J23" s="1">
        <v>0</v>
      </c>
      <c r="K23" s="1">
        <v>0</v>
      </c>
      <c r="L23" s="1">
        <v>0</v>
      </c>
    </row>
    <row r="24" spans="3:15" x14ac:dyDescent="0.2">
      <c r="C24" s="1" t="s">
        <v>126</v>
      </c>
      <c r="D24" s="6"/>
      <c r="E24" s="6"/>
      <c r="F24" s="6"/>
      <c r="G24" s="6"/>
      <c r="I24" s="1" t="s">
        <v>122</v>
      </c>
      <c r="J24" s="1">
        <v>0</v>
      </c>
      <c r="K24" s="1">
        <v>0</v>
      </c>
      <c r="L24" s="1">
        <v>0</v>
      </c>
    </row>
    <row r="25" spans="3:15" x14ac:dyDescent="0.2">
      <c r="C25" s="1" t="s">
        <v>125</v>
      </c>
      <c r="D25" s="1">
        <v>1388.0724600000001</v>
      </c>
      <c r="E25" s="1">
        <v>0</v>
      </c>
      <c r="F25" s="1">
        <v>-220.56188900000001</v>
      </c>
      <c r="G25" s="1">
        <v>311.58038800000003</v>
      </c>
      <c r="I25" s="1" t="s">
        <v>121</v>
      </c>
      <c r="J25" s="1">
        <v>0</v>
      </c>
      <c r="K25" s="1">
        <v>0</v>
      </c>
      <c r="L25" s="1">
        <v>0</v>
      </c>
    </row>
    <row r="26" spans="3:15" x14ac:dyDescent="0.2">
      <c r="C26" s="1" t="s">
        <v>124</v>
      </c>
      <c r="D26" s="1">
        <v>0</v>
      </c>
      <c r="E26" s="1">
        <v>0</v>
      </c>
      <c r="F26" s="1">
        <v>0</v>
      </c>
      <c r="G26" s="1">
        <v>0</v>
      </c>
      <c r="I26" s="1" t="s">
        <v>120</v>
      </c>
      <c r="J26" s="1">
        <v>0</v>
      </c>
      <c r="K26" s="1">
        <v>0</v>
      </c>
      <c r="L26" s="1">
        <v>0</v>
      </c>
    </row>
    <row r="27" spans="3:15" x14ac:dyDescent="0.2">
      <c r="C27" s="1" t="s">
        <v>123</v>
      </c>
      <c r="D27" s="1">
        <v>0</v>
      </c>
      <c r="E27" s="1">
        <v>0</v>
      </c>
      <c r="F27" s="1">
        <v>0</v>
      </c>
      <c r="G27" s="1">
        <v>0</v>
      </c>
      <c r="I27" s="1" t="s">
        <v>119</v>
      </c>
      <c r="J27" s="1"/>
      <c r="K27" s="1"/>
      <c r="L27" s="1"/>
    </row>
    <row r="28" spans="3:15" x14ac:dyDescent="0.2">
      <c r="C28" s="1" t="s">
        <v>122</v>
      </c>
      <c r="D28" s="1">
        <v>0</v>
      </c>
      <c r="E28" s="1">
        <v>0</v>
      </c>
      <c r="F28" s="1">
        <v>0</v>
      </c>
      <c r="G28" s="1">
        <v>0</v>
      </c>
      <c r="I28" s="1" t="s">
        <v>118</v>
      </c>
      <c r="J28" s="1"/>
      <c r="K28" s="1"/>
      <c r="L28" s="1"/>
    </row>
    <row r="29" spans="3:15" x14ac:dyDescent="0.2">
      <c r="C29" s="1" t="s">
        <v>121</v>
      </c>
      <c r="D29" s="1">
        <v>0</v>
      </c>
      <c r="E29" s="1">
        <v>0</v>
      </c>
      <c r="F29" s="1">
        <v>0</v>
      </c>
      <c r="G29" s="1">
        <v>0</v>
      </c>
      <c r="I29" s="1" t="s">
        <v>117</v>
      </c>
      <c r="J29" s="6"/>
      <c r="K29" s="6"/>
      <c r="L29" s="6"/>
    </row>
    <row r="30" spans="3:15" x14ac:dyDescent="0.2">
      <c r="C30" s="1" t="s">
        <v>120</v>
      </c>
      <c r="D30" s="1">
        <v>0</v>
      </c>
      <c r="E30" s="1">
        <v>0</v>
      </c>
      <c r="F30" s="1">
        <v>0</v>
      </c>
      <c r="G30" s="1">
        <v>0</v>
      </c>
      <c r="I30" s="1"/>
      <c r="J30" s="6"/>
      <c r="K30" s="6"/>
      <c r="L30" s="6"/>
    </row>
    <row r="31" spans="3:15" x14ac:dyDescent="0.2">
      <c r="C31" s="1" t="s">
        <v>119</v>
      </c>
      <c r="D31" s="1"/>
      <c r="E31" s="1"/>
      <c r="F31" s="1"/>
      <c r="G31" s="1"/>
    </row>
    <row r="32" spans="3:15" x14ac:dyDescent="0.2">
      <c r="C32" s="1" t="s">
        <v>118</v>
      </c>
      <c r="D32" s="1"/>
      <c r="E32" s="1"/>
      <c r="F32" s="1"/>
      <c r="G32" s="1"/>
    </row>
    <row r="33" spans="3:12" x14ac:dyDescent="0.2">
      <c r="C33" s="1" t="s">
        <v>117</v>
      </c>
      <c r="D33" s="6"/>
      <c r="E33" s="6"/>
      <c r="F33" s="6"/>
      <c r="G33" s="6"/>
    </row>
    <row r="34" spans="3:12" x14ac:dyDescent="0.2">
      <c r="I34" s="1"/>
    </row>
    <row r="35" spans="3:12" x14ac:dyDescent="0.2">
      <c r="I35" s="1"/>
    </row>
    <row r="36" spans="3:12" x14ac:dyDescent="0.2">
      <c r="C36" s="1" t="s">
        <v>164</v>
      </c>
      <c r="D36" s="1">
        <f>D25 * 0.004184</f>
        <v>5.8076951726400008</v>
      </c>
      <c r="E36" s="1">
        <f t="shared" ref="E36:G36" si="0">E25 * 0.004184</f>
        <v>0</v>
      </c>
      <c r="F36" s="1">
        <f>F25 * 0.004184</f>
        <v>-0.92283094357600004</v>
      </c>
      <c r="G36" s="1">
        <f t="shared" si="0"/>
        <v>1.3036523433920002</v>
      </c>
      <c r="I36" s="1" t="s">
        <v>163</v>
      </c>
      <c r="J36">
        <f>J19 * 0.004184</f>
        <v>11.22532631792</v>
      </c>
      <c r="K36">
        <f t="shared" ref="K36:L36" si="1">K19 * 0.004184</f>
        <v>-98.245531172000014</v>
      </c>
      <c r="L36">
        <f t="shared" si="1"/>
        <v>61.915936157600001</v>
      </c>
    </row>
    <row r="38" spans="3:12" x14ac:dyDescent="0.2">
      <c r="C38" t="s">
        <v>166</v>
      </c>
      <c r="D38" s="13">
        <f>SUM(C36:G36, J36:L36)</f>
        <v>-18.91575212402401</v>
      </c>
      <c r="E38" s="8"/>
      <c r="F38" s="8"/>
      <c r="G38" s="8"/>
      <c r="H38" s="8"/>
      <c r="I38" s="8"/>
      <c r="J38" s="8"/>
      <c r="K38" s="8"/>
      <c r="L38" s="8"/>
    </row>
    <row r="39" spans="3:12" x14ac:dyDescent="0.2">
      <c r="C39" t="s">
        <v>168</v>
      </c>
      <c r="D39" s="12">
        <v>-452.94</v>
      </c>
    </row>
    <row r="40" spans="3:12" ht="16" x14ac:dyDescent="0.2">
      <c r="C40" s="7" t="s">
        <v>165</v>
      </c>
      <c r="D40" s="13">
        <f>-18.9157521-452.94</f>
        <v>-471.85575210000002</v>
      </c>
      <c r="E40" s="8"/>
      <c r="F40" s="8"/>
      <c r="G40" s="8"/>
      <c r="H40" s="8"/>
      <c r="I40" s="8"/>
      <c r="J40" s="8"/>
      <c r="K40" s="8"/>
      <c r="L40" s="8"/>
    </row>
  </sheetData>
  <mergeCells count="2">
    <mergeCell ref="C3:G3"/>
    <mergeCell ref="I3:L3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RawData_Material</vt:lpstr>
      <vt:lpstr>Mass_Balance</vt:lpstr>
      <vt:lpstr>Model_vs_Paper</vt:lpstr>
      <vt:lpstr>Heat_duty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Xinran ZHANG</dc:creator>
  <cp:lastModifiedBy>angel Zhang</cp:lastModifiedBy>
  <dcterms:created xsi:type="dcterms:W3CDTF">2026-07-06T09:13:52Z</dcterms:created>
  <dcterms:modified xsi:type="dcterms:W3CDTF">2026-07-20T16:18:27Z</dcterms:modified>
</cp:coreProperties>
</file>